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it Dhamankar\Documents\"/>
    </mc:Choice>
  </mc:AlternateContent>
  <xr:revisionPtr revIDLastSave="0" documentId="8_{9F2CC154-2783-495D-8C8B-B395A88100E0}" xr6:coauthVersionLast="47" xr6:coauthVersionMax="47" xr10:uidLastSave="{00000000-0000-0000-0000-000000000000}"/>
  <bookViews>
    <workbookView xWindow="-108" yWindow="-108" windowWidth="23256" windowHeight="12456" xr2:uid="{466EAC76-7CA2-42E2-8542-3D5405CE3ABC}"/>
  </bookViews>
  <sheets>
    <sheet name="Raw_Data" sheetId="1" r:id="rId1"/>
    <sheet name="Daily_Summary" sheetId="2" r:id="rId2"/>
    <sheet name="Sheet3" sheetId="3" r:id="rId3"/>
    <sheet name="Sheet4" sheetId="4" r:id="rId4"/>
  </sheets>
  <calcPr calcId="191029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<sst xmlns="http://schemas.openxmlformats.org/spreadsheetml/2006/main" count="271" uniqueCount="148">
  <si>
    <t>trade_date</t>
  </si>
  <si>
    <t xml:space="preserve">price_date  </t>
  </si>
  <si>
    <t>avg_price_7d</t>
  </si>
  <si>
    <t>market_price_usd</t>
  </si>
  <si>
    <t>trade_id</t>
  </si>
  <si>
    <t xml:space="preserve">buy_sell </t>
  </si>
  <si>
    <t xml:space="preserve">volume_barrels </t>
  </si>
  <si>
    <t xml:space="preserve">trade_price_usd </t>
  </si>
  <si>
    <t xml:space="preserve">market_price_usd </t>
  </si>
  <si>
    <t>estimated_value_impact_usd</t>
  </si>
  <si>
    <t>T0017</t>
  </si>
  <si>
    <t>Buy</t>
  </si>
  <si>
    <t>T0061</t>
  </si>
  <si>
    <t>Sell</t>
  </si>
  <si>
    <t>T0067</t>
  </si>
  <si>
    <t>T0012</t>
  </si>
  <si>
    <t>T0051</t>
  </si>
  <si>
    <t>T0104</t>
  </si>
  <si>
    <t>T0021</t>
  </si>
  <si>
    <t>T0009</t>
  </si>
  <si>
    <t>T0098</t>
  </si>
  <si>
    <t>T0119</t>
  </si>
  <si>
    <t>T0064</t>
  </si>
  <si>
    <t>T0091</t>
  </si>
  <si>
    <t>T0079</t>
  </si>
  <si>
    <t>T0102</t>
  </si>
  <si>
    <t>T0040</t>
  </si>
  <si>
    <t>T0054</t>
  </si>
  <si>
    <t>T0047</t>
  </si>
  <si>
    <t>T0071</t>
  </si>
  <si>
    <t>T0085</t>
  </si>
  <si>
    <t>T0080</t>
  </si>
  <si>
    <t>T0095</t>
  </si>
  <si>
    <t>T0052</t>
  </si>
  <si>
    <t>T0053</t>
  </si>
  <si>
    <t>T0057</t>
  </si>
  <si>
    <t>T0055</t>
  </si>
  <si>
    <t>T0087</t>
  </si>
  <si>
    <t>T0109</t>
  </si>
  <si>
    <t>T0039</t>
  </si>
  <si>
    <t>T0044</t>
  </si>
  <si>
    <t>T0062</t>
  </si>
  <si>
    <t>T0101</t>
  </si>
  <si>
    <t>T0020</t>
  </si>
  <si>
    <t>T0070</t>
  </si>
  <si>
    <t>T0048</t>
  </si>
  <si>
    <t>T0005</t>
  </si>
  <si>
    <t>T0094</t>
  </si>
  <si>
    <t>T0010</t>
  </si>
  <si>
    <t>T0093</t>
  </si>
  <si>
    <t>T0065</t>
  </si>
  <si>
    <t>T0073</t>
  </si>
  <si>
    <t>T0019</t>
  </si>
  <si>
    <t>T0023</t>
  </si>
  <si>
    <t>T0041</t>
  </si>
  <si>
    <t>T0060</t>
  </si>
  <si>
    <t>T0063</t>
  </si>
  <si>
    <t>T0117</t>
  </si>
  <si>
    <t>T0097</t>
  </si>
  <si>
    <t>T0050</t>
  </si>
  <si>
    <t>T0111</t>
  </si>
  <si>
    <t>T0003</t>
  </si>
  <si>
    <t>T0024</t>
  </si>
  <si>
    <t>T0037</t>
  </si>
  <si>
    <t>T0081</t>
  </si>
  <si>
    <t>T0120</t>
  </si>
  <si>
    <t>T0100</t>
  </si>
  <si>
    <t>T0082</t>
  </si>
  <si>
    <t>T0114</t>
  </si>
  <si>
    <t>T0115</t>
  </si>
  <si>
    <t>T0015</t>
  </si>
  <si>
    <t>T0099</t>
  </si>
  <si>
    <t>T0059</t>
  </si>
  <si>
    <t>T0112</t>
  </si>
  <si>
    <t>T0103</t>
  </si>
  <si>
    <t>T0108</t>
  </si>
  <si>
    <t>T0077</t>
  </si>
  <si>
    <t>T0083</t>
  </si>
  <si>
    <t>T0038</t>
  </si>
  <si>
    <t>T0118</t>
  </si>
  <si>
    <t>T0027</t>
  </si>
  <si>
    <t>T0006</t>
  </si>
  <si>
    <t>T0036</t>
  </si>
  <si>
    <t>T0030</t>
  </si>
  <si>
    <t>T0088</t>
  </si>
  <si>
    <t>T0110</t>
  </si>
  <si>
    <t>T0116</t>
  </si>
  <si>
    <t>T0001</t>
  </si>
  <si>
    <t>T0013</t>
  </si>
  <si>
    <t>T0106</t>
  </si>
  <si>
    <t>T0033</t>
  </si>
  <si>
    <t>T0072</t>
  </si>
  <si>
    <t>T0074</t>
  </si>
  <si>
    <t>T0002</t>
  </si>
  <si>
    <t>T0056</t>
  </si>
  <si>
    <t>T0107</t>
  </si>
  <si>
    <t>T0011</t>
  </si>
  <si>
    <t>T0022</t>
  </si>
  <si>
    <t>T0032</t>
  </si>
  <si>
    <t>T0068</t>
  </si>
  <si>
    <t>T0075</t>
  </si>
  <si>
    <t>T0096</t>
  </si>
  <si>
    <t>T0007</t>
  </si>
  <si>
    <t>T0029</t>
  </si>
  <si>
    <t>T0084</t>
  </si>
  <si>
    <t>T0092</t>
  </si>
  <si>
    <t>T0049</t>
  </si>
  <si>
    <t>T0035</t>
  </si>
  <si>
    <t>T0058</t>
  </si>
  <si>
    <t>T0014</t>
  </si>
  <si>
    <t>T0031</t>
  </si>
  <si>
    <t>T0016</t>
  </si>
  <si>
    <t>T0028</t>
  </si>
  <si>
    <t>T0086</t>
  </si>
  <si>
    <t>T0045</t>
  </si>
  <si>
    <t>T0105</t>
  </si>
  <si>
    <t>T0026</t>
  </si>
  <si>
    <t>T0076</t>
  </si>
  <si>
    <t>T0066</t>
  </si>
  <si>
    <t>T0046</t>
  </si>
  <si>
    <t>T0025</t>
  </si>
  <si>
    <t>T0069</t>
  </si>
  <si>
    <t>T0113</t>
  </si>
  <si>
    <t>T0089</t>
  </si>
  <si>
    <t>T0004</t>
  </si>
  <si>
    <t>T0034</t>
  </si>
  <si>
    <t>T0042</t>
  </si>
  <si>
    <t>T0043</t>
  </si>
  <si>
    <t>T0078</t>
  </si>
  <si>
    <t>T0008</t>
  </si>
  <si>
    <t>T0018</t>
  </si>
  <si>
    <t>T0090</t>
  </si>
  <si>
    <t>Market &amp; Commercial Summary</t>
  </si>
  <si>
    <t>Average Market Price</t>
  </si>
  <si>
    <t>Highest Market Price</t>
  </si>
  <si>
    <t>Lowest Market Price</t>
  </si>
  <si>
    <t>Total Value Impact</t>
  </si>
  <si>
    <t>Row Labels</t>
  </si>
  <si>
    <t>Grand Total</t>
  </si>
  <si>
    <t>Sum of estimated_value_impact_usd</t>
  </si>
  <si>
    <t>2023</t>
  </si>
  <si>
    <t>2024</t>
  </si>
  <si>
    <t>Jan</t>
  </si>
  <si>
    <t>Feb</t>
  </si>
  <si>
    <t>Mar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</si>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</sst>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409]#,#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  <xf numFmtId="0" fontId="0" fillId="2" borderId="0" xfId="0" applyFill="1" applyAlignment="1">
      <alignment horizontal="left"/>
    </xf>
    <xf numFmtId="167" fontId="0" fillId="2" borderId="0" xfId="0" applyNumberFormat="1" applyFill="1"/>
    <xf numFmtId="0" fontId="0" fillId="3" borderId="0" xfId="0" applyFill="1" applyAlignment="1">
      <alignment horizontal="left"/>
    </xf>
    <xf numFmtId="167" fontId="0" fillId="3" borderId="0" xfId="0" applyNumberFormat="1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32">
    <dxf>
      <numFmt numFmtId="167" formatCode="[$$-409]#,##0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7" formatCode="[$$-409]#,##0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7" formatCode="[$$-409]#,##0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5" formatCode="0.0"/>
    </dxf>
    <dxf>
      <numFmt numFmtId="165" formatCode="0.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53124862972081"/>
          <c:y val="2.9482123913254804E-2"/>
          <c:w val="0.76885253603442771"/>
          <c:h val="0.53428725998622151"/>
        </c:manualLayout>
      </c:layout>
      <c:lineChart>
        <c:grouping val="standard"/>
        <c:varyColors val="0"/>
        <c:ser>
          <c:idx val="0"/>
          <c:order val="0"/>
          <c:tx>
            <c:strRef>
              <c:f>Raw_Data!$J$1</c:f>
              <c:strCache>
                <c:ptCount val="1"/>
                <c:pt idx="0">
                  <c:v>market_price_usd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Raw_Data!$F$2:$F$132</c:f>
              <c:numCache>
                <c:formatCode>m/d/yyyy</c:formatCode>
                <c:ptCount val="131"/>
                <c:pt idx="0">
                  <c:v>45253</c:v>
                </c:pt>
                <c:pt idx="1">
                  <c:v>45258</c:v>
                </c:pt>
                <c:pt idx="2">
                  <c:v>45316</c:v>
                </c:pt>
                <c:pt idx="3">
                  <c:v>45352</c:v>
                </c:pt>
                <c:pt idx="4">
                  <c:v>45329</c:v>
                </c:pt>
                <c:pt idx="5">
                  <c:v>45264</c:v>
                </c:pt>
                <c:pt idx="6">
                  <c:v>45268</c:v>
                </c:pt>
                <c:pt idx="7">
                  <c:v>45238</c:v>
                </c:pt>
                <c:pt idx="8">
                  <c:v>45331</c:v>
                </c:pt>
                <c:pt idx="9">
                  <c:v>45280</c:v>
                </c:pt>
                <c:pt idx="10">
                  <c:v>45344</c:v>
                </c:pt>
                <c:pt idx="11">
                  <c:v>45344</c:v>
                </c:pt>
                <c:pt idx="12">
                  <c:v>45296</c:v>
                </c:pt>
                <c:pt idx="13">
                  <c:v>45329</c:v>
                </c:pt>
                <c:pt idx="14">
                  <c:v>45337</c:v>
                </c:pt>
                <c:pt idx="15">
                  <c:v>45356</c:v>
                </c:pt>
                <c:pt idx="16">
                  <c:v>45259</c:v>
                </c:pt>
                <c:pt idx="17">
                  <c:v>45359</c:v>
                </c:pt>
                <c:pt idx="18">
                  <c:v>45217</c:v>
                </c:pt>
                <c:pt idx="19">
                  <c:v>45251</c:v>
                </c:pt>
                <c:pt idx="20">
                  <c:v>45250</c:v>
                </c:pt>
                <c:pt idx="21">
                  <c:v>45219</c:v>
                </c:pt>
                <c:pt idx="22">
                  <c:v>45363</c:v>
                </c:pt>
                <c:pt idx="23">
                  <c:v>45320</c:v>
                </c:pt>
                <c:pt idx="24">
                  <c:v>45320</c:v>
                </c:pt>
                <c:pt idx="25">
                  <c:v>45229</c:v>
                </c:pt>
                <c:pt idx="26">
                  <c:v>45280</c:v>
                </c:pt>
                <c:pt idx="27">
                  <c:v>45267</c:v>
                </c:pt>
                <c:pt idx="28">
                  <c:v>45366</c:v>
                </c:pt>
                <c:pt idx="29">
                  <c:v>45211</c:v>
                </c:pt>
                <c:pt idx="30">
                  <c:v>45337</c:v>
                </c:pt>
                <c:pt idx="31">
                  <c:v>45356</c:v>
                </c:pt>
                <c:pt idx="32">
                  <c:v>45274</c:v>
                </c:pt>
                <c:pt idx="33">
                  <c:v>45237</c:v>
                </c:pt>
                <c:pt idx="34">
                  <c:v>45245</c:v>
                </c:pt>
                <c:pt idx="35">
                  <c:v>45264</c:v>
                </c:pt>
                <c:pt idx="36">
                  <c:v>45232</c:v>
                </c:pt>
                <c:pt idx="37">
                  <c:v>45266</c:v>
                </c:pt>
                <c:pt idx="38">
                  <c:v>45328</c:v>
                </c:pt>
                <c:pt idx="39">
                  <c:v>45272</c:v>
                </c:pt>
                <c:pt idx="40">
                  <c:v>45233</c:v>
                </c:pt>
                <c:pt idx="41">
                  <c:v>45379</c:v>
                </c:pt>
                <c:pt idx="42">
                  <c:v>45209</c:v>
                </c:pt>
                <c:pt idx="43">
                  <c:v>45372</c:v>
                </c:pt>
                <c:pt idx="44">
                  <c:v>45289</c:v>
                </c:pt>
                <c:pt idx="45">
                  <c:v>45324</c:v>
                </c:pt>
                <c:pt idx="46">
                  <c:v>45378</c:v>
                </c:pt>
                <c:pt idx="47">
                  <c:v>45247</c:v>
                </c:pt>
                <c:pt idx="48">
                  <c:v>45271</c:v>
                </c:pt>
                <c:pt idx="49">
                  <c:v>45324</c:v>
                </c:pt>
                <c:pt idx="50">
                  <c:v>45380</c:v>
                </c:pt>
                <c:pt idx="51">
                  <c:v>45266</c:v>
                </c:pt>
                <c:pt idx="52">
                  <c:v>45337</c:v>
                </c:pt>
                <c:pt idx="53">
                  <c:v>45202</c:v>
                </c:pt>
                <c:pt idx="54">
                  <c:v>45282</c:v>
                </c:pt>
                <c:pt idx="55">
                  <c:v>45362</c:v>
                </c:pt>
                <c:pt idx="56">
                  <c:v>45344</c:v>
                </c:pt>
                <c:pt idx="57">
                  <c:v>45334</c:v>
                </c:pt>
                <c:pt idx="58">
                  <c:v>45236</c:v>
                </c:pt>
                <c:pt idx="59">
                  <c:v>45223</c:v>
                </c:pt>
                <c:pt idx="60">
                  <c:v>45251</c:v>
                </c:pt>
                <c:pt idx="61">
                  <c:v>45252</c:v>
                </c:pt>
                <c:pt idx="62">
                  <c:v>45229</c:v>
                </c:pt>
                <c:pt idx="63">
                  <c:v>45266</c:v>
                </c:pt>
                <c:pt idx="64">
                  <c:v>45230</c:v>
                </c:pt>
                <c:pt idx="65">
                  <c:v>45351</c:v>
                </c:pt>
                <c:pt idx="66">
                  <c:v>45204</c:v>
                </c:pt>
                <c:pt idx="67">
                  <c:v>45274</c:v>
                </c:pt>
                <c:pt idx="68">
                  <c:v>45280</c:v>
                </c:pt>
                <c:pt idx="69">
                  <c:v>45244</c:v>
                </c:pt>
                <c:pt idx="70">
                  <c:v>45224</c:v>
                </c:pt>
                <c:pt idx="71">
                  <c:v>45244</c:v>
                </c:pt>
                <c:pt idx="72">
                  <c:v>45210</c:v>
                </c:pt>
                <c:pt idx="73">
                  <c:v>45357</c:v>
                </c:pt>
                <c:pt idx="74">
                  <c:v>45226</c:v>
                </c:pt>
                <c:pt idx="75">
                  <c:v>45287</c:v>
                </c:pt>
                <c:pt idx="76">
                  <c:v>45245</c:v>
                </c:pt>
                <c:pt idx="77">
                  <c:v>45378</c:v>
                </c:pt>
                <c:pt idx="78">
                  <c:v>45378</c:v>
                </c:pt>
                <c:pt idx="79">
                  <c:v>45303</c:v>
                </c:pt>
                <c:pt idx="80">
                  <c:v>45282</c:v>
                </c:pt>
                <c:pt idx="81">
                  <c:v>45210</c:v>
                </c:pt>
                <c:pt idx="82">
                  <c:v>45208</c:v>
                </c:pt>
                <c:pt idx="83">
                  <c:v>45294</c:v>
                </c:pt>
                <c:pt idx="84">
                  <c:v>45320</c:v>
                </c:pt>
                <c:pt idx="85">
                  <c:v>45285</c:v>
                </c:pt>
                <c:pt idx="86">
                  <c:v>45274</c:v>
                </c:pt>
                <c:pt idx="87">
                  <c:v>45379</c:v>
                </c:pt>
                <c:pt idx="88">
                  <c:v>45293</c:v>
                </c:pt>
                <c:pt idx="89">
                  <c:v>45237</c:v>
                </c:pt>
                <c:pt idx="90">
                  <c:v>45232</c:v>
                </c:pt>
                <c:pt idx="91">
                  <c:v>45377</c:v>
                </c:pt>
                <c:pt idx="92">
                  <c:v>45223</c:v>
                </c:pt>
                <c:pt idx="93">
                  <c:v>45336</c:v>
                </c:pt>
                <c:pt idx="94">
                  <c:v>45293</c:v>
                </c:pt>
                <c:pt idx="95">
                  <c:v>45378</c:v>
                </c:pt>
                <c:pt idx="96">
                  <c:v>45292</c:v>
                </c:pt>
                <c:pt idx="97">
                  <c:v>45337</c:v>
                </c:pt>
                <c:pt idx="98">
                  <c:v>45344</c:v>
                </c:pt>
                <c:pt idx="99">
                  <c:v>45240</c:v>
                </c:pt>
                <c:pt idx="100">
                  <c:v>45267</c:v>
                </c:pt>
                <c:pt idx="101">
                  <c:v>45279</c:v>
                </c:pt>
                <c:pt idx="102">
                  <c:v>45378</c:v>
                </c:pt>
                <c:pt idx="103">
                  <c:v>45314</c:v>
                </c:pt>
                <c:pt idx="104">
                  <c:v>45215</c:v>
                </c:pt>
                <c:pt idx="105">
                  <c:v>45337</c:v>
                </c:pt>
                <c:pt idx="106">
                  <c:v>45362</c:v>
                </c:pt>
                <c:pt idx="107">
                  <c:v>45335</c:v>
                </c:pt>
                <c:pt idx="108">
                  <c:v>45365</c:v>
                </c:pt>
                <c:pt idx="109">
                  <c:v>45271</c:v>
                </c:pt>
                <c:pt idx="110">
                  <c:v>45266</c:v>
                </c:pt>
                <c:pt idx="111">
                  <c:v>45373</c:v>
                </c:pt>
                <c:pt idx="112">
                  <c:v>45314</c:v>
                </c:pt>
                <c:pt idx="113">
                  <c:v>45357</c:v>
                </c:pt>
                <c:pt idx="114">
                  <c:v>45358</c:v>
                </c:pt>
                <c:pt idx="115">
                  <c:v>45274</c:v>
                </c:pt>
                <c:pt idx="116">
                  <c:v>45253</c:v>
                </c:pt>
                <c:pt idx="117">
                  <c:v>45355</c:v>
                </c:pt>
                <c:pt idx="118">
                  <c:v>45359</c:v>
                </c:pt>
                <c:pt idx="119">
                  <c:v>45337</c:v>
                </c:pt>
              </c:numCache>
            </c:numRef>
          </c:cat>
          <c:val>
            <c:numRef>
              <c:f>Raw_Data!$J$2:$J$132</c:f>
              <c:numCache>
                <c:formatCode>General</c:formatCode>
                <c:ptCount val="131"/>
                <c:pt idx="0">
                  <c:v>76.63</c:v>
                </c:pt>
                <c:pt idx="1">
                  <c:v>77.3</c:v>
                </c:pt>
                <c:pt idx="2">
                  <c:v>76.709999999999994</c:v>
                </c:pt>
                <c:pt idx="3">
                  <c:v>75.47</c:v>
                </c:pt>
                <c:pt idx="4">
                  <c:v>76.88</c:v>
                </c:pt>
                <c:pt idx="5">
                  <c:v>75.73</c:v>
                </c:pt>
                <c:pt idx="6">
                  <c:v>75.239999999999995</c:v>
                </c:pt>
                <c:pt idx="7">
                  <c:v>79.150000000000006</c:v>
                </c:pt>
                <c:pt idx="8">
                  <c:v>76.45</c:v>
                </c:pt>
                <c:pt idx="9">
                  <c:v>75.650000000000006</c:v>
                </c:pt>
                <c:pt idx="10">
                  <c:v>73.98</c:v>
                </c:pt>
                <c:pt idx="11">
                  <c:v>73.98</c:v>
                </c:pt>
                <c:pt idx="12">
                  <c:v>76.34</c:v>
                </c:pt>
                <c:pt idx="13">
                  <c:v>76.88</c:v>
                </c:pt>
                <c:pt idx="14">
                  <c:v>75.91</c:v>
                </c:pt>
                <c:pt idx="15">
                  <c:v>74.31</c:v>
                </c:pt>
                <c:pt idx="16">
                  <c:v>77.23</c:v>
                </c:pt>
                <c:pt idx="17">
                  <c:v>75.7</c:v>
                </c:pt>
                <c:pt idx="18">
                  <c:v>84.28</c:v>
                </c:pt>
                <c:pt idx="19">
                  <c:v>78.61</c:v>
                </c:pt>
                <c:pt idx="20">
                  <c:v>78.48</c:v>
                </c:pt>
                <c:pt idx="21">
                  <c:v>82.09</c:v>
                </c:pt>
                <c:pt idx="22">
                  <c:v>75.86</c:v>
                </c:pt>
                <c:pt idx="23">
                  <c:v>75.930000000000007</c:v>
                </c:pt>
                <c:pt idx="24">
                  <c:v>75.930000000000007</c:v>
                </c:pt>
                <c:pt idx="25">
                  <c:v>80.819999999999993</c:v>
                </c:pt>
                <c:pt idx="26">
                  <c:v>75.650000000000006</c:v>
                </c:pt>
                <c:pt idx="27">
                  <c:v>76.290000000000006</c:v>
                </c:pt>
                <c:pt idx="28">
                  <c:v>76.3</c:v>
                </c:pt>
                <c:pt idx="29">
                  <c:v>84.36</c:v>
                </c:pt>
                <c:pt idx="30">
                  <c:v>75.91</c:v>
                </c:pt>
                <c:pt idx="31">
                  <c:v>74.31</c:v>
                </c:pt>
                <c:pt idx="32">
                  <c:v>75.16</c:v>
                </c:pt>
                <c:pt idx="33">
                  <c:v>78.92</c:v>
                </c:pt>
                <c:pt idx="34">
                  <c:v>79.36</c:v>
                </c:pt>
                <c:pt idx="35">
                  <c:v>75.73</c:v>
                </c:pt>
                <c:pt idx="36">
                  <c:v>79.87</c:v>
                </c:pt>
                <c:pt idx="37">
                  <c:v>76.09</c:v>
                </c:pt>
                <c:pt idx="38">
                  <c:v>77.3</c:v>
                </c:pt>
                <c:pt idx="39">
                  <c:v>75.2</c:v>
                </c:pt>
                <c:pt idx="40">
                  <c:v>79.55</c:v>
                </c:pt>
                <c:pt idx="41">
                  <c:v>77.02</c:v>
                </c:pt>
                <c:pt idx="42">
                  <c:v>84.18</c:v>
                </c:pt>
                <c:pt idx="43">
                  <c:v>76.23</c:v>
                </c:pt>
                <c:pt idx="44">
                  <c:v>75.14</c:v>
                </c:pt>
                <c:pt idx="45">
                  <c:v>76.66</c:v>
                </c:pt>
                <c:pt idx="46">
                  <c:v>76.959999999999994</c:v>
                </c:pt>
                <c:pt idx="47">
                  <c:v>79.209999999999994</c:v>
                </c:pt>
                <c:pt idx="48">
                  <c:v>75.430000000000007</c:v>
                </c:pt>
                <c:pt idx="49">
                  <c:v>76.66</c:v>
                </c:pt>
                <c:pt idx="50">
                  <c:v>76.72</c:v>
                </c:pt>
                <c:pt idx="51">
                  <c:v>76.09</c:v>
                </c:pt>
                <c:pt idx="52">
                  <c:v>75.91</c:v>
                </c:pt>
                <c:pt idx="53">
                  <c:v>82.22</c:v>
                </c:pt>
                <c:pt idx="54">
                  <c:v>76.430000000000007</c:v>
                </c:pt>
                <c:pt idx="55">
                  <c:v>75.89</c:v>
                </c:pt>
                <c:pt idx="56">
                  <c:v>73.98</c:v>
                </c:pt>
                <c:pt idx="57">
                  <c:v>75.569999999999993</c:v>
                </c:pt>
                <c:pt idx="58">
                  <c:v>79.61</c:v>
                </c:pt>
                <c:pt idx="59">
                  <c:v>81.150000000000006</c:v>
                </c:pt>
                <c:pt idx="60">
                  <c:v>78.61</c:v>
                </c:pt>
                <c:pt idx="61">
                  <c:v>77.430000000000007</c:v>
                </c:pt>
                <c:pt idx="62">
                  <c:v>80.819999999999993</c:v>
                </c:pt>
                <c:pt idx="63">
                  <c:v>76.09</c:v>
                </c:pt>
                <c:pt idx="64">
                  <c:v>80.69</c:v>
                </c:pt>
                <c:pt idx="65">
                  <c:v>75.52</c:v>
                </c:pt>
                <c:pt idx="66">
                  <c:v>83.52</c:v>
                </c:pt>
                <c:pt idx="67">
                  <c:v>75.16</c:v>
                </c:pt>
                <c:pt idx="68">
                  <c:v>75.650000000000006</c:v>
                </c:pt>
                <c:pt idx="69">
                  <c:v>79.36</c:v>
                </c:pt>
                <c:pt idx="70">
                  <c:v>81.34</c:v>
                </c:pt>
                <c:pt idx="71">
                  <c:v>79.36</c:v>
                </c:pt>
                <c:pt idx="72">
                  <c:v>84.64</c:v>
                </c:pt>
                <c:pt idx="73">
                  <c:v>74.34</c:v>
                </c:pt>
                <c:pt idx="74">
                  <c:v>79.94</c:v>
                </c:pt>
                <c:pt idx="75">
                  <c:v>75.37</c:v>
                </c:pt>
                <c:pt idx="76">
                  <c:v>79.36</c:v>
                </c:pt>
                <c:pt idx="77">
                  <c:v>76.959999999999994</c:v>
                </c:pt>
                <c:pt idx="78">
                  <c:v>76.959999999999994</c:v>
                </c:pt>
                <c:pt idx="79">
                  <c:v>76.83</c:v>
                </c:pt>
                <c:pt idx="80">
                  <c:v>76.430000000000007</c:v>
                </c:pt>
                <c:pt idx="81">
                  <c:v>84.64</c:v>
                </c:pt>
                <c:pt idx="82">
                  <c:v>83.24</c:v>
                </c:pt>
                <c:pt idx="83">
                  <c:v>76.510000000000005</c:v>
                </c:pt>
                <c:pt idx="84">
                  <c:v>75.930000000000007</c:v>
                </c:pt>
                <c:pt idx="85">
                  <c:v>76.14</c:v>
                </c:pt>
                <c:pt idx="86">
                  <c:v>75.16</c:v>
                </c:pt>
                <c:pt idx="87">
                  <c:v>77.02</c:v>
                </c:pt>
                <c:pt idx="88">
                  <c:v>75.91</c:v>
                </c:pt>
                <c:pt idx="89">
                  <c:v>78.92</c:v>
                </c:pt>
                <c:pt idx="90">
                  <c:v>79.87</c:v>
                </c:pt>
                <c:pt idx="91">
                  <c:v>77.3</c:v>
                </c:pt>
                <c:pt idx="92">
                  <c:v>81.150000000000006</c:v>
                </c:pt>
                <c:pt idx="93">
                  <c:v>75.91</c:v>
                </c:pt>
                <c:pt idx="94">
                  <c:v>75.91</c:v>
                </c:pt>
                <c:pt idx="95">
                  <c:v>76.959999999999994</c:v>
                </c:pt>
                <c:pt idx="96">
                  <c:v>75.95</c:v>
                </c:pt>
                <c:pt idx="97">
                  <c:v>75.91</c:v>
                </c:pt>
                <c:pt idx="98">
                  <c:v>73.98</c:v>
                </c:pt>
                <c:pt idx="99">
                  <c:v>78.61</c:v>
                </c:pt>
                <c:pt idx="100">
                  <c:v>76.290000000000006</c:v>
                </c:pt>
                <c:pt idx="101">
                  <c:v>75.83</c:v>
                </c:pt>
                <c:pt idx="102">
                  <c:v>76.959999999999994</c:v>
                </c:pt>
                <c:pt idx="103">
                  <c:v>76.14</c:v>
                </c:pt>
                <c:pt idx="104">
                  <c:v>84.41</c:v>
                </c:pt>
                <c:pt idx="105">
                  <c:v>75.91</c:v>
                </c:pt>
                <c:pt idx="106">
                  <c:v>75.89</c:v>
                </c:pt>
                <c:pt idx="107">
                  <c:v>75.75</c:v>
                </c:pt>
                <c:pt idx="108">
                  <c:v>75.849999999999994</c:v>
                </c:pt>
                <c:pt idx="109">
                  <c:v>75.430000000000007</c:v>
                </c:pt>
                <c:pt idx="110">
                  <c:v>76.09</c:v>
                </c:pt>
                <c:pt idx="111">
                  <c:v>76.58</c:v>
                </c:pt>
                <c:pt idx="112">
                  <c:v>76.14</c:v>
                </c:pt>
                <c:pt idx="113">
                  <c:v>74.34</c:v>
                </c:pt>
                <c:pt idx="114">
                  <c:v>75.819999999999993</c:v>
                </c:pt>
                <c:pt idx="115">
                  <c:v>75.16</c:v>
                </c:pt>
                <c:pt idx="116">
                  <c:v>76.63</c:v>
                </c:pt>
                <c:pt idx="117">
                  <c:v>74.319999999999993</c:v>
                </c:pt>
                <c:pt idx="118">
                  <c:v>75.7</c:v>
                </c:pt>
                <c:pt idx="119">
                  <c:v>75.91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9-4587-94F7-18678E2E9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826672"/>
        <c:axId val="528829552"/>
      </c:lineChart>
      <c:dateAx>
        <c:axId val="528826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29552"/>
        <c:crosses val="autoZero"/>
        <c:auto val="1"/>
        <c:lblOffset val="100"/>
        <c:baseTimeUnit val="days"/>
      </c:dateAx>
      <c:valAx>
        <c:axId val="52882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2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Daily Estimated Value Impact (USD,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02559055118112"/>
          <c:y val="0.19721055701370663"/>
          <c:w val="0.84897440944881886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Raw_Data!$K$1</c:f>
              <c:strCache>
                <c:ptCount val="1"/>
                <c:pt idx="0">
                  <c:v>estimated_value_impact_usd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Raw_Data!$F$2:$F$132</c:f>
              <c:numCache>
                <c:formatCode>m/d/yyyy</c:formatCode>
                <c:ptCount val="131"/>
                <c:pt idx="0">
                  <c:v>45253</c:v>
                </c:pt>
                <c:pt idx="1">
                  <c:v>45258</c:v>
                </c:pt>
                <c:pt idx="2">
                  <c:v>45316</c:v>
                </c:pt>
                <c:pt idx="3">
                  <c:v>45352</c:v>
                </c:pt>
                <c:pt idx="4">
                  <c:v>45329</c:v>
                </c:pt>
                <c:pt idx="5">
                  <c:v>45264</c:v>
                </c:pt>
                <c:pt idx="6">
                  <c:v>45268</c:v>
                </c:pt>
                <c:pt idx="7">
                  <c:v>45238</c:v>
                </c:pt>
                <c:pt idx="8">
                  <c:v>45331</c:v>
                </c:pt>
                <c:pt idx="9">
                  <c:v>45280</c:v>
                </c:pt>
                <c:pt idx="10">
                  <c:v>45344</c:v>
                </c:pt>
                <c:pt idx="11">
                  <c:v>45344</c:v>
                </c:pt>
                <c:pt idx="12">
                  <c:v>45296</c:v>
                </c:pt>
                <c:pt idx="13">
                  <c:v>45329</c:v>
                </c:pt>
                <c:pt idx="14">
                  <c:v>45337</c:v>
                </c:pt>
                <c:pt idx="15">
                  <c:v>45356</c:v>
                </c:pt>
                <c:pt idx="16">
                  <c:v>45259</c:v>
                </c:pt>
                <c:pt idx="17">
                  <c:v>45359</c:v>
                </c:pt>
                <c:pt idx="18">
                  <c:v>45217</c:v>
                </c:pt>
                <c:pt idx="19">
                  <c:v>45251</c:v>
                </c:pt>
                <c:pt idx="20">
                  <c:v>45250</c:v>
                </c:pt>
                <c:pt idx="21">
                  <c:v>45219</c:v>
                </c:pt>
                <c:pt idx="22">
                  <c:v>45363</c:v>
                </c:pt>
                <c:pt idx="23">
                  <c:v>45320</c:v>
                </c:pt>
                <c:pt idx="24">
                  <c:v>45320</c:v>
                </c:pt>
                <c:pt idx="25">
                  <c:v>45229</c:v>
                </c:pt>
                <c:pt idx="26">
                  <c:v>45280</c:v>
                </c:pt>
                <c:pt idx="27">
                  <c:v>45267</c:v>
                </c:pt>
                <c:pt idx="28">
                  <c:v>45366</c:v>
                </c:pt>
                <c:pt idx="29">
                  <c:v>45211</c:v>
                </c:pt>
                <c:pt idx="30">
                  <c:v>45337</c:v>
                </c:pt>
                <c:pt idx="31">
                  <c:v>45356</c:v>
                </c:pt>
                <c:pt idx="32">
                  <c:v>45274</c:v>
                </c:pt>
                <c:pt idx="33">
                  <c:v>45237</c:v>
                </c:pt>
                <c:pt idx="34">
                  <c:v>45245</c:v>
                </c:pt>
                <c:pt idx="35">
                  <c:v>45264</c:v>
                </c:pt>
                <c:pt idx="36">
                  <c:v>45232</c:v>
                </c:pt>
                <c:pt idx="37">
                  <c:v>45266</c:v>
                </c:pt>
                <c:pt idx="38">
                  <c:v>45328</c:v>
                </c:pt>
                <c:pt idx="39">
                  <c:v>45272</c:v>
                </c:pt>
                <c:pt idx="40">
                  <c:v>45233</c:v>
                </c:pt>
                <c:pt idx="41">
                  <c:v>45379</c:v>
                </c:pt>
                <c:pt idx="42">
                  <c:v>45209</c:v>
                </c:pt>
                <c:pt idx="43">
                  <c:v>45372</c:v>
                </c:pt>
                <c:pt idx="44">
                  <c:v>45289</c:v>
                </c:pt>
                <c:pt idx="45">
                  <c:v>45324</c:v>
                </c:pt>
                <c:pt idx="46">
                  <c:v>45378</c:v>
                </c:pt>
                <c:pt idx="47">
                  <c:v>45247</c:v>
                </c:pt>
                <c:pt idx="48">
                  <c:v>45271</c:v>
                </c:pt>
                <c:pt idx="49">
                  <c:v>45324</c:v>
                </c:pt>
                <c:pt idx="50">
                  <c:v>45380</c:v>
                </c:pt>
                <c:pt idx="51">
                  <c:v>45266</c:v>
                </c:pt>
                <c:pt idx="52">
                  <c:v>45337</c:v>
                </c:pt>
                <c:pt idx="53">
                  <c:v>45202</c:v>
                </c:pt>
                <c:pt idx="54">
                  <c:v>45282</c:v>
                </c:pt>
                <c:pt idx="55">
                  <c:v>45362</c:v>
                </c:pt>
                <c:pt idx="56">
                  <c:v>45344</c:v>
                </c:pt>
                <c:pt idx="57">
                  <c:v>45334</c:v>
                </c:pt>
                <c:pt idx="58">
                  <c:v>45236</c:v>
                </c:pt>
                <c:pt idx="59">
                  <c:v>45223</c:v>
                </c:pt>
                <c:pt idx="60">
                  <c:v>45251</c:v>
                </c:pt>
                <c:pt idx="61">
                  <c:v>45252</c:v>
                </c:pt>
                <c:pt idx="62">
                  <c:v>45229</c:v>
                </c:pt>
                <c:pt idx="63">
                  <c:v>45266</c:v>
                </c:pt>
                <c:pt idx="64">
                  <c:v>45230</c:v>
                </c:pt>
                <c:pt idx="65">
                  <c:v>45351</c:v>
                </c:pt>
                <c:pt idx="66">
                  <c:v>45204</c:v>
                </c:pt>
                <c:pt idx="67">
                  <c:v>45274</c:v>
                </c:pt>
                <c:pt idx="68">
                  <c:v>45280</c:v>
                </c:pt>
                <c:pt idx="69">
                  <c:v>45244</c:v>
                </c:pt>
                <c:pt idx="70">
                  <c:v>45224</c:v>
                </c:pt>
                <c:pt idx="71">
                  <c:v>45244</c:v>
                </c:pt>
                <c:pt idx="72">
                  <c:v>45210</c:v>
                </c:pt>
                <c:pt idx="73">
                  <c:v>45357</c:v>
                </c:pt>
                <c:pt idx="74">
                  <c:v>45226</c:v>
                </c:pt>
                <c:pt idx="75">
                  <c:v>45287</c:v>
                </c:pt>
                <c:pt idx="76">
                  <c:v>45245</c:v>
                </c:pt>
                <c:pt idx="77">
                  <c:v>45378</c:v>
                </c:pt>
                <c:pt idx="78">
                  <c:v>45378</c:v>
                </c:pt>
                <c:pt idx="79">
                  <c:v>45303</c:v>
                </c:pt>
                <c:pt idx="80">
                  <c:v>45282</c:v>
                </c:pt>
                <c:pt idx="81">
                  <c:v>45210</c:v>
                </c:pt>
                <c:pt idx="82">
                  <c:v>45208</c:v>
                </c:pt>
                <c:pt idx="83">
                  <c:v>45294</c:v>
                </c:pt>
                <c:pt idx="84">
                  <c:v>45320</c:v>
                </c:pt>
                <c:pt idx="85">
                  <c:v>45285</c:v>
                </c:pt>
                <c:pt idx="86">
                  <c:v>45274</c:v>
                </c:pt>
                <c:pt idx="87">
                  <c:v>45379</c:v>
                </c:pt>
                <c:pt idx="88">
                  <c:v>45293</c:v>
                </c:pt>
                <c:pt idx="89">
                  <c:v>45237</c:v>
                </c:pt>
                <c:pt idx="90">
                  <c:v>45232</c:v>
                </c:pt>
                <c:pt idx="91">
                  <c:v>45377</c:v>
                </c:pt>
                <c:pt idx="92">
                  <c:v>45223</c:v>
                </c:pt>
                <c:pt idx="93">
                  <c:v>45336</c:v>
                </c:pt>
                <c:pt idx="94">
                  <c:v>45293</c:v>
                </c:pt>
                <c:pt idx="95">
                  <c:v>45378</c:v>
                </c:pt>
                <c:pt idx="96">
                  <c:v>45292</c:v>
                </c:pt>
                <c:pt idx="97">
                  <c:v>45337</c:v>
                </c:pt>
                <c:pt idx="98">
                  <c:v>45344</c:v>
                </c:pt>
                <c:pt idx="99">
                  <c:v>45240</c:v>
                </c:pt>
                <c:pt idx="100">
                  <c:v>45267</c:v>
                </c:pt>
                <c:pt idx="101">
                  <c:v>45279</c:v>
                </c:pt>
                <c:pt idx="102">
                  <c:v>45378</c:v>
                </c:pt>
                <c:pt idx="103">
                  <c:v>45314</c:v>
                </c:pt>
                <c:pt idx="104">
                  <c:v>45215</c:v>
                </c:pt>
                <c:pt idx="105">
                  <c:v>45337</c:v>
                </c:pt>
                <c:pt idx="106">
                  <c:v>45362</c:v>
                </c:pt>
                <c:pt idx="107">
                  <c:v>45335</c:v>
                </c:pt>
                <c:pt idx="108">
                  <c:v>45365</c:v>
                </c:pt>
                <c:pt idx="109">
                  <c:v>45271</c:v>
                </c:pt>
                <c:pt idx="110">
                  <c:v>45266</c:v>
                </c:pt>
                <c:pt idx="111">
                  <c:v>45373</c:v>
                </c:pt>
                <c:pt idx="112">
                  <c:v>45314</c:v>
                </c:pt>
                <c:pt idx="113">
                  <c:v>45357</c:v>
                </c:pt>
                <c:pt idx="114">
                  <c:v>45358</c:v>
                </c:pt>
                <c:pt idx="115">
                  <c:v>45274</c:v>
                </c:pt>
                <c:pt idx="116">
                  <c:v>45253</c:v>
                </c:pt>
                <c:pt idx="117">
                  <c:v>45355</c:v>
                </c:pt>
                <c:pt idx="118">
                  <c:v>45359</c:v>
                </c:pt>
                <c:pt idx="119">
                  <c:v>45337</c:v>
                </c:pt>
              </c:numCache>
            </c:numRef>
          </c:cat>
          <c:val>
            <c:numRef>
              <c:f>Raw_Data!$K$2:$K$132</c:f>
              <c:numCache>
                <c:formatCode>General</c:formatCode>
                <c:ptCount val="131"/>
                <c:pt idx="0">
                  <c:v>2611720.5499999998</c:v>
                </c:pt>
                <c:pt idx="1">
                  <c:v>2462260.85</c:v>
                </c:pt>
                <c:pt idx="2">
                  <c:v>2447865</c:v>
                </c:pt>
                <c:pt idx="3">
                  <c:v>2402781.58</c:v>
                </c:pt>
                <c:pt idx="4">
                  <c:v>2343391.5</c:v>
                </c:pt>
                <c:pt idx="5">
                  <c:v>2176775.37</c:v>
                </c:pt>
                <c:pt idx="6">
                  <c:v>1912791.78</c:v>
                </c:pt>
                <c:pt idx="7">
                  <c:v>1524338.15</c:v>
                </c:pt>
                <c:pt idx="8">
                  <c:v>1415519.52</c:v>
                </c:pt>
                <c:pt idx="9">
                  <c:v>1349805.76</c:v>
                </c:pt>
                <c:pt idx="10">
                  <c:v>1342373.4</c:v>
                </c:pt>
                <c:pt idx="11">
                  <c:v>1193666.1000000001</c:v>
                </c:pt>
                <c:pt idx="12">
                  <c:v>1177003.52</c:v>
                </c:pt>
                <c:pt idx="13">
                  <c:v>1049812.5</c:v>
                </c:pt>
                <c:pt idx="14">
                  <c:v>1013742.4</c:v>
                </c:pt>
                <c:pt idx="15">
                  <c:v>1012648.34</c:v>
                </c:pt>
                <c:pt idx="16">
                  <c:v>1008260.68</c:v>
                </c:pt>
                <c:pt idx="17">
                  <c:v>967631.25</c:v>
                </c:pt>
                <c:pt idx="18">
                  <c:v>929902.75</c:v>
                </c:pt>
                <c:pt idx="19">
                  <c:v>911891.75</c:v>
                </c:pt>
                <c:pt idx="20">
                  <c:v>875732.9</c:v>
                </c:pt>
                <c:pt idx="21">
                  <c:v>870278.98</c:v>
                </c:pt>
                <c:pt idx="22">
                  <c:v>854943.6</c:v>
                </c:pt>
                <c:pt idx="23">
                  <c:v>850734.7</c:v>
                </c:pt>
                <c:pt idx="24">
                  <c:v>772546</c:v>
                </c:pt>
                <c:pt idx="25">
                  <c:v>755954.64</c:v>
                </c:pt>
                <c:pt idx="26">
                  <c:v>600140.9</c:v>
                </c:pt>
                <c:pt idx="27">
                  <c:v>551321.4</c:v>
                </c:pt>
                <c:pt idx="28">
                  <c:v>540465.84</c:v>
                </c:pt>
                <c:pt idx="29">
                  <c:v>534397.76</c:v>
                </c:pt>
                <c:pt idx="30">
                  <c:v>500073.04</c:v>
                </c:pt>
                <c:pt idx="31">
                  <c:v>497220.8</c:v>
                </c:pt>
                <c:pt idx="32">
                  <c:v>367543.28</c:v>
                </c:pt>
                <c:pt idx="33">
                  <c:v>364273.39</c:v>
                </c:pt>
                <c:pt idx="34">
                  <c:v>359996</c:v>
                </c:pt>
                <c:pt idx="35">
                  <c:v>354519.27</c:v>
                </c:pt>
                <c:pt idx="36">
                  <c:v>310573.5</c:v>
                </c:pt>
                <c:pt idx="37">
                  <c:v>299377.26</c:v>
                </c:pt>
                <c:pt idx="38">
                  <c:v>202365.08</c:v>
                </c:pt>
                <c:pt idx="39">
                  <c:v>200106.9</c:v>
                </c:pt>
                <c:pt idx="40">
                  <c:v>172727.28</c:v>
                </c:pt>
                <c:pt idx="41">
                  <c:v>158170.65</c:v>
                </c:pt>
                <c:pt idx="42">
                  <c:v>129730.14</c:v>
                </c:pt>
                <c:pt idx="43">
                  <c:v>124512.69</c:v>
                </c:pt>
                <c:pt idx="44">
                  <c:v>111799.74</c:v>
                </c:pt>
                <c:pt idx="45">
                  <c:v>51217.440000000002</c:v>
                </c:pt>
                <c:pt idx="46">
                  <c:v>38090.629999999997</c:v>
                </c:pt>
                <c:pt idx="47">
                  <c:v>33885.68</c:v>
                </c:pt>
                <c:pt idx="48">
                  <c:v>15150.88</c:v>
                </c:pt>
                <c:pt idx="49">
                  <c:v>15138.15</c:v>
                </c:pt>
                <c:pt idx="50">
                  <c:v>8291.7999999999993</c:v>
                </c:pt>
                <c:pt idx="51">
                  <c:v>-21713.119999999999</c:v>
                </c:pt>
                <c:pt idx="52">
                  <c:v>-39581</c:v>
                </c:pt>
                <c:pt idx="53">
                  <c:v>-71379</c:v>
                </c:pt>
                <c:pt idx="54">
                  <c:v>-80481.52</c:v>
                </c:pt>
                <c:pt idx="55">
                  <c:v>-118136.48</c:v>
                </c:pt>
                <c:pt idx="56">
                  <c:v>-118874.54</c:v>
                </c:pt>
                <c:pt idx="57">
                  <c:v>-125086.5</c:v>
                </c:pt>
                <c:pt idx="58">
                  <c:v>-137199.15</c:v>
                </c:pt>
                <c:pt idx="59">
                  <c:v>-152577.09</c:v>
                </c:pt>
                <c:pt idx="60">
                  <c:v>-184226.4</c:v>
                </c:pt>
                <c:pt idx="61">
                  <c:v>-208647.4</c:v>
                </c:pt>
                <c:pt idx="62">
                  <c:v>-233755.83</c:v>
                </c:pt>
                <c:pt idx="63">
                  <c:v>-260944.47</c:v>
                </c:pt>
                <c:pt idx="64">
                  <c:v>-261067.3</c:v>
                </c:pt>
                <c:pt idx="65">
                  <c:v>-276678.71999999997</c:v>
                </c:pt>
                <c:pt idx="66">
                  <c:v>-340693.6</c:v>
                </c:pt>
                <c:pt idx="67">
                  <c:v>-346604.16</c:v>
                </c:pt>
                <c:pt idx="68">
                  <c:v>-393518.2</c:v>
                </c:pt>
                <c:pt idx="69">
                  <c:v>-400653</c:v>
                </c:pt>
                <c:pt idx="70">
                  <c:v>-411372.88</c:v>
                </c:pt>
                <c:pt idx="71">
                  <c:v>-414304.8</c:v>
                </c:pt>
                <c:pt idx="72">
                  <c:v>-421814.96</c:v>
                </c:pt>
                <c:pt idx="73">
                  <c:v>-431367.6</c:v>
                </c:pt>
                <c:pt idx="74">
                  <c:v>-444709.76</c:v>
                </c:pt>
                <c:pt idx="75">
                  <c:v>-462670.76</c:v>
                </c:pt>
                <c:pt idx="76">
                  <c:v>-464854.98</c:v>
                </c:pt>
                <c:pt idx="77">
                  <c:v>-498717</c:v>
                </c:pt>
                <c:pt idx="78">
                  <c:v>-503210.51</c:v>
                </c:pt>
                <c:pt idx="79">
                  <c:v>-512056.06</c:v>
                </c:pt>
                <c:pt idx="80">
                  <c:v>-527804.16000000003</c:v>
                </c:pt>
                <c:pt idx="81">
                  <c:v>-544401.06000000006</c:v>
                </c:pt>
                <c:pt idx="82">
                  <c:v>-544419.4</c:v>
                </c:pt>
                <c:pt idx="83">
                  <c:v>-566233.92000000004</c:v>
                </c:pt>
                <c:pt idx="84">
                  <c:v>-617107.4</c:v>
                </c:pt>
                <c:pt idx="85">
                  <c:v>-628222.68000000005</c:v>
                </c:pt>
                <c:pt idx="86">
                  <c:v>-639654.84</c:v>
                </c:pt>
                <c:pt idx="87">
                  <c:v>-650373.6</c:v>
                </c:pt>
                <c:pt idx="88">
                  <c:v>-663939.71</c:v>
                </c:pt>
                <c:pt idx="89">
                  <c:v>-676803.45</c:v>
                </c:pt>
                <c:pt idx="90">
                  <c:v>-716367.08</c:v>
                </c:pt>
                <c:pt idx="91">
                  <c:v>-724627.2</c:v>
                </c:pt>
                <c:pt idx="92">
                  <c:v>-772837.12</c:v>
                </c:pt>
                <c:pt idx="93">
                  <c:v>-815898.6</c:v>
                </c:pt>
                <c:pt idx="94">
                  <c:v>-828391.05</c:v>
                </c:pt>
                <c:pt idx="95">
                  <c:v>-831302.88</c:v>
                </c:pt>
                <c:pt idx="96">
                  <c:v>-889502.88</c:v>
                </c:pt>
                <c:pt idx="97">
                  <c:v>-943936.56</c:v>
                </c:pt>
                <c:pt idx="98">
                  <c:v>-949197.06</c:v>
                </c:pt>
                <c:pt idx="99">
                  <c:v>-973228.8</c:v>
                </c:pt>
                <c:pt idx="100">
                  <c:v>-1000058.4</c:v>
                </c:pt>
                <c:pt idx="101">
                  <c:v>-1023999.6</c:v>
                </c:pt>
                <c:pt idx="102">
                  <c:v>-1030425.43</c:v>
                </c:pt>
                <c:pt idx="103">
                  <c:v>-1113534.8799999999</c:v>
                </c:pt>
                <c:pt idx="104">
                  <c:v>-1134821.2</c:v>
                </c:pt>
                <c:pt idx="105">
                  <c:v>-1165718.95</c:v>
                </c:pt>
                <c:pt idx="106">
                  <c:v>-1278518.2</c:v>
                </c:pt>
                <c:pt idx="107">
                  <c:v>-1349970.75</c:v>
                </c:pt>
                <c:pt idx="108">
                  <c:v>-1356874.74</c:v>
                </c:pt>
                <c:pt idx="109">
                  <c:v>-1614021.78</c:v>
                </c:pt>
                <c:pt idx="110">
                  <c:v>-1614949.84</c:v>
                </c:pt>
                <c:pt idx="111">
                  <c:v>-1645766.65</c:v>
                </c:pt>
                <c:pt idx="112">
                  <c:v>-1652633.6000000001</c:v>
                </c:pt>
                <c:pt idx="113">
                  <c:v>-1687433.6</c:v>
                </c:pt>
                <c:pt idx="114">
                  <c:v>-1837643.21</c:v>
                </c:pt>
                <c:pt idx="115">
                  <c:v>-1968722.57</c:v>
                </c:pt>
                <c:pt idx="116">
                  <c:v>-1993231.02</c:v>
                </c:pt>
                <c:pt idx="117">
                  <c:v>-2084949.44</c:v>
                </c:pt>
                <c:pt idx="118">
                  <c:v>-2113707.4</c:v>
                </c:pt>
                <c:pt idx="119">
                  <c:v>-2467023.2999999998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4-49FA-AF13-E523D488DC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63972960"/>
        <c:axId val="963976800"/>
      </c:barChart>
      <c:dateAx>
        <c:axId val="9639729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63976800"/>
        <c:crosses val="autoZero"/>
        <c:auto val="0"/>
        <c:lblOffset val="100"/>
        <c:baseTimeUnit val="days"/>
      </c:dateAx>
      <c:valAx>
        <c:axId val="96397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7296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[Oil Prices.xlsx]Sheet3!PivotTable5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Impact by Trade Direction (USD)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rgbClr val="00B050"/>
          </a:solidFill>
          <a:ln>
            <a:noFill/>
          </a:ln>
          <a:effectLst/>
        </c:spPr>
      </c:pivotFmt>
      <c:pivotFmt>
        <c:idx val="24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rgbClr val="00B050"/>
          </a:solidFill>
          <a:ln>
            <a:noFill/>
          </a:ln>
          <a:effectLst/>
        </c:spPr>
      </c:pivotFmt>
      <c:pivotFmt>
        <c:idx val="24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rgbClr val="00B050"/>
          </a:solidFill>
          <a:ln>
            <a:noFill/>
          </a:ln>
          <a:effectLst/>
        </c:spPr>
      </c:pivotFmt>
      <c:pivotFmt>
        <c:idx val="24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4-66BB-4749-9BE5-224E3DE178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Buy</c:v>
                </c:pt>
                <c:pt idx="1">
                  <c:v>Sell</c:v>
                </c:pt>
              </c:strCache>
            </c:strRef>
          </c:cat>
          <c:val>
            <c:numRef>
              <c:f>Sheet3!$B$4:$B$6</c:f>
              <c:numCache>
                <c:formatCode>[$$-409]#,##0</c:formatCode>
                <c:ptCount val="2"/>
                <c:pt idx="0">
                  <c:v>-50599901.820000008</c:v>
                </c:pt>
                <c:pt idx="1">
                  <c:v>39400214.089999996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5-66BB-4749-9BE5-224E3DE17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67824"/>
        <c:axId val="563960624"/>
      </c:barChart>
      <c:catAx>
        <c:axId val="56396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60624"/>
        <c:crosses val="autoZero"/>
        <c:auto val="1"/>
        <c:lblAlgn val="ctr"/>
        <c:lblOffset val="100"/>
        <c:noMultiLvlLbl val="0"/>
      </c:catAx>
      <c:valAx>
        <c:axId val="5639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6782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[Oil Prices.xlsx]Sheet4!PivotTable8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Estimated Value Impact (USD)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Sheet4!$A$4:$A$12</c:f>
              <c:multiLvlStrCache>
                <c:ptCount val="6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</c:lvl>
                <c:lvl>
                  <c:pt idx="0">
                    <c:v>2023</c:v>
                  </c:pt>
                  <c:pt idx="3">
                    <c:v>2024</c:v>
                  </c:pt>
                </c:lvl>
              </c:multiLvlStrCache>
            </c:multiLvlStrRef>
          </c:cat>
          <c:val>
            <c:numRef>
              <c:f>Sheet4!$B$4:$B$12</c:f>
              <c:numCache>
                <c:formatCode>General</c:formatCode>
                <c:ptCount val="6"/>
                <c:pt idx="0">
                  <c:v>-2113584.9299999992</c:v>
                </c:pt>
                <c:pt idx="1">
                  <c:v>4466144.6499999994</c:v>
                </c:pt>
                <c:pt idx="2">
                  <c:v>-2644033.5600000005</c:v>
                </c:pt>
                <c:pt idx="3">
                  <c:v>-1595250.28</c:v>
                </c:pt>
                <c:pt idx="4">
                  <c:v>875333.14999999967</c:v>
                </c:pt>
                <c:pt idx="5">
                  <c:v>-10188296.759999998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0-4655-985A-504759569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064416"/>
        <c:axId val="1047067296"/>
      </c:barChart>
      <c:catAx>
        <c:axId val="104706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67296"/>
        <c:crosses val="autoZero"/>
        <c:auto val="1"/>
        <c:lblAlgn val="ctr"/>
        <c:lblOffset val="100"/>
        <c:noMultiLvlLbl val="0"/>
      </c:catAx>
      <c:valAx>
        <c:axId val="10470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644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</xdr:row>
      <xdr:rowOff>114300</xdr:rowOff>
    </xdr:from>
    <xdr:to>
      <xdr:col>18</xdr:col>
      <xdr:colOff>502920</xdr:colOff>
      <xdr:row>15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94DB5A-F5F7-8EA5-B737-9E0620139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60960</xdr:colOff>
      <xdr:row>1</xdr:row>
      <xdr:rowOff>57150</xdr:rowOff>
    </xdr:from>
    <xdr:to>
      <xdr:col>26</xdr:col>
      <xdr:colOff>365760</xdr:colOff>
      <xdr:row>16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EA8D7E-E239-4AD9-2290-1BD12A0E1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6</xdr:row>
      <xdr:rowOff>41910</xdr:rowOff>
    </xdr:from>
    <xdr:to>
      <xdr:col>11</xdr:col>
      <xdr:colOff>53340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F1FD4-36F5-0EEB-8D5D-1C85AD007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3</xdr:row>
      <xdr:rowOff>41910</xdr:rowOff>
    </xdr:from>
    <xdr:to>
      <xdr:col>11</xdr:col>
      <xdr:colOff>182880</xdr:colOff>
      <xdr:row>18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BD202C-5E5F-F499-A872-1AB678361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Dhamankar" refreshedDate="46020.679169907409" createdVersion="8" refreshedVersion="8" minRefreshableVersion="3" recordCount="120" xr:uid="{FBBF27B8-F52D-4BED-B2F7-C3E728552D11}">
  <cacheSource type="worksheet">
    <worksheetSource name="tbl_trades"/>
  </cacheSource>
  <cacheFields count="9">
    <cacheField name="trade_id" numFmtId="14">
      <sharedItems/>
    </cacheField>
    <cacheField name="trade_date" numFmtId="14">
      <sharedItems containsSemiMixedTypes="0" containsNonDate="0" containsDate="1" containsString="0" minDate="2023-10-03T00:00:00" maxDate="2024-03-30T00:00:00" count="76">
        <d v="2023-10-03T00:00:00"/>
        <d v="2023-10-05T00:00:00"/>
        <d v="2023-10-09T00:00:00"/>
        <d v="2023-10-10T00:00:00"/>
        <d v="2023-10-11T00:00:00"/>
        <d v="2023-10-12T00:00:00"/>
        <d v="2023-10-16T00:00:00"/>
        <d v="2023-10-18T00:00:00"/>
        <d v="2023-10-20T00:00:00"/>
        <d v="2023-10-24T00:00:00"/>
        <d v="2023-10-25T00:00:00"/>
        <d v="2023-10-27T00:00:00"/>
        <d v="2023-10-30T00:00:00"/>
        <d v="2023-10-31T00:00:00"/>
        <d v="2023-11-02T00:00:00"/>
        <d v="2023-11-03T00:00:00"/>
        <d v="2023-11-06T00:00:00"/>
        <d v="2023-11-07T00:00:00"/>
        <d v="2023-11-08T00:00:00"/>
        <d v="2023-11-10T00:00:00"/>
        <d v="2023-11-14T00:00:00"/>
        <d v="2023-11-15T00:00:00"/>
        <d v="2023-11-17T00:00:00"/>
        <d v="2023-11-20T00:00:00"/>
        <d v="2023-11-21T00:00:00"/>
        <d v="2023-11-22T00:00:00"/>
        <d v="2023-11-23T00:00:00"/>
        <d v="2023-11-28T00:00:00"/>
        <d v="2023-11-29T00:00:00"/>
        <d v="2023-12-04T00:00:00"/>
        <d v="2023-12-06T00:00:00"/>
        <d v="2023-12-07T00:00:00"/>
        <d v="2023-12-08T00:00:00"/>
        <d v="2023-12-11T00:00:00"/>
        <d v="2023-12-12T00:00:00"/>
        <d v="2023-12-14T00:00:00"/>
        <d v="2023-12-19T00:00:00"/>
        <d v="2023-12-20T00:00:00"/>
        <d v="2023-12-22T00:00:00"/>
        <d v="2023-12-25T00:00:00"/>
        <d v="2023-12-27T00:00:00"/>
        <d v="2023-12-29T00:00:00"/>
        <d v="2024-01-01T00:00:00"/>
        <d v="2024-01-02T00:00:00"/>
        <d v="2024-01-03T00:00:00"/>
        <d v="2024-01-05T00:00:00"/>
        <d v="2024-01-12T00:00:00"/>
        <d v="2024-01-23T00:00:00"/>
        <d v="2024-01-25T00:00:00"/>
        <d v="2024-01-29T00:00:00"/>
        <d v="2024-02-02T00:00:00"/>
        <d v="2024-02-06T00:00:00"/>
        <d v="2024-02-07T00:00:00"/>
        <d v="2024-02-09T00:00:00"/>
        <d v="2024-02-12T00:00:00"/>
        <d v="2024-02-13T00:00:00"/>
        <d v="2024-02-14T00:00:00"/>
        <d v="2024-02-15T00:00:00"/>
        <d v="2024-02-22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4T00:00:00"/>
        <d v="2024-03-15T00:00:00"/>
        <d v="2024-03-21T00:00:00"/>
        <d v="2024-03-22T00:00:00"/>
        <d v="2024-03-26T00:00:00"/>
        <d v="2024-03-27T00:00:00"/>
        <d v="2024-03-28T00:00:00"/>
        <d v="2024-03-29T00:00:00"/>
      </sharedItems>
      <fieldGroup par="8"/>
    </cacheField>
    <cacheField name="buy_sell " numFmtId="0">
      <sharedItems count="2">
        <s v="Buy"/>
        <s v="Sell"/>
      </sharedItems>
    </cacheField>
    <cacheField name="volume_barrels " numFmtId="0">
      <sharedItems containsSemiMixedTypes="0" containsString="0" containsNumber="1" containsInteger="1" minValue="41062" maxValue="158874"/>
    </cacheField>
    <cacheField name="trade_price_usd " numFmtId="0">
      <sharedItems containsSemiMixedTypes="0" containsString="0" containsNumber="1" minValue="75.27" maxValue="94.92"/>
    </cacheField>
    <cacheField name="market_price_usd " numFmtId="0">
      <sharedItems containsSemiMixedTypes="0" containsString="0" containsNumber="1" minValue="73.98" maxValue="84.64"/>
    </cacheField>
    <cacheField name="estimated_value_impact_usd" numFmtId="0">
      <sharedItems containsSemiMixedTypes="0" containsString="0" containsNumber="1" minValue="-2467023.2999999998" maxValue="2611720.5499999998"/>
    </cacheField>
    <cacheField name="Months (trade_date)" numFmtId="0" databaseField="0">
      <fieldGroup base="1">
        <rangePr groupBy="months" startDate="2023-10-03T00:00:00" endDate="2024-03-30T00:00:00"/>
        <groupItems count="14">
          <s v="&lt;03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3-2024"/>
        </groupItems>
      </fieldGroup>
    </cacheField>
    <cacheField name="Years (trade_date)" numFmtId="0" databaseField="0">
      <fieldGroup base="1">
        <rangePr groupBy="years" startDate="2023-10-03T00:00:00" endDate="2024-03-30T00:00:00"/>
        <groupItems count="4">
          <s v="&lt;03-10-2023"/>
          <s v="2023"/>
          <s v="2024"/>
          <s v="&gt;30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T0017"/>
    <x v="0"/>
    <x v="0"/>
    <n v="129780"/>
    <n v="82.77"/>
    <n v="82.22"/>
    <n v="-71379"/>
  </r>
  <r>
    <s v="T0061"/>
    <x v="1"/>
    <x v="1"/>
    <n v="77080"/>
    <n v="79.099999999999994"/>
    <n v="83.52"/>
    <n v="-340693.6"/>
  </r>
  <r>
    <s v="T0067"/>
    <x v="2"/>
    <x v="1"/>
    <n v="74578"/>
    <n v="75.94"/>
    <n v="83.24"/>
    <n v="-544419.4"/>
  </r>
  <r>
    <s v="T0012"/>
    <x v="3"/>
    <x v="0"/>
    <n v="100566"/>
    <n v="82.89"/>
    <n v="84.18"/>
    <n v="129730.14"/>
  </r>
  <r>
    <s v="T0051"/>
    <x v="4"/>
    <x v="1"/>
    <n v="66962"/>
    <n v="76.510000000000005"/>
    <n v="84.64"/>
    <n v="-544401.06000000006"/>
  </r>
  <r>
    <s v="T0104"/>
    <x v="4"/>
    <x v="0"/>
    <n v="151732"/>
    <n v="87.42"/>
    <n v="84.64"/>
    <n v="-421814.96"/>
  </r>
  <r>
    <s v="T0021"/>
    <x v="5"/>
    <x v="0"/>
    <n v="128461"/>
    <n v="80.2"/>
    <n v="84.36"/>
    <n v="534397.76"/>
  </r>
  <r>
    <s v="T0009"/>
    <x v="6"/>
    <x v="0"/>
    <n v="127508"/>
    <n v="93.31"/>
    <n v="84.41"/>
    <n v="-1134821.2"/>
  </r>
  <r>
    <s v="T0098"/>
    <x v="7"/>
    <x v="1"/>
    <n v="139835"/>
    <n v="90.93"/>
    <n v="84.28"/>
    <n v="929902.75"/>
  </r>
  <r>
    <s v="T0119"/>
    <x v="8"/>
    <x v="1"/>
    <n v="70354"/>
    <n v="94.46"/>
    <n v="82.09"/>
    <n v="870278.98"/>
  </r>
  <r>
    <s v="T0064"/>
    <x v="9"/>
    <x v="1"/>
    <n v="75909"/>
    <n v="79.14"/>
    <n v="81.150000000000006"/>
    <n v="-152577.09"/>
  </r>
  <r>
    <s v="T0091"/>
    <x v="9"/>
    <x v="0"/>
    <n v="92224"/>
    <n v="89.53"/>
    <n v="81.150000000000006"/>
    <n v="-772837.12"/>
  </r>
  <r>
    <s v="T0079"/>
    <x v="10"/>
    <x v="0"/>
    <n v="126188"/>
    <n v="84.6"/>
    <n v="81.34"/>
    <n v="-411372.88"/>
  </r>
  <r>
    <s v="T0102"/>
    <x v="11"/>
    <x v="1"/>
    <n v="122848"/>
    <n v="76.319999999999993"/>
    <n v="79.94"/>
    <n v="-444709.76"/>
  </r>
  <r>
    <s v="T0040"/>
    <x v="12"/>
    <x v="0"/>
    <n v="61677"/>
    <n v="84.61"/>
    <n v="80.819999999999993"/>
    <n v="-233755.83"/>
  </r>
  <r>
    <s v="T0054"/>
    <x v="12"/>
    <x v="1"/>
    <n v="82348"/>
    <n v="90"/>
    <n v="80.819999999999993"/>
    <n v="755954.64"/>
  </r>
  <r>
    <s v="T0047"/>
    <x v="13"/>
    <x v="1"/>
    <n v="59065"/>
    <n v="76.27"/>
    <n v="80.69"/>
    <n v="-261067.3"/>
  </r>
  <r>
    <s v="T0071"/>
    <x v="14"/>
    <x v="1"/>
    <n v="66790"/>
    <n v="84.52"/>
    <n v="79.87"/>
    <n v="310573.5"/>
  </r>
  <r>
    <s v="T0085"/>
    <x v="14"/>
    <x v="0"/>
    <n v="95771"/>
    <n v="87.35"/>
    <n v="79.87"/>
    <n v="-716367.08"/>
  </r>
  <r>
    <s v="T0080"/>
    <x v="15"/>
    <x v="1"/>
    <n v="44748"/>
    <n v="83.41"/>
    <n v="79.55"/>
    <n v="172727.28"/>
  </r>
  <r>
    <s v="T0095"/>
    <x v="16"/>
    <x v="0"/>
    <n v="101629"/>
    <n v="80.959999999999994"/>
    <n v="79.61"/>
    <n v="-137199.15"/>
  </r>
  <r>
    <s v="T0052"/>
    <x v="17"/>
    <x v="0"/>
    <n v="68295"/>
    <n v="88.83"/>
    <n v="78.92"/>
    <n v="-676803.45"/>
  </r>
  <r>
    <s v="T0053"/>
    <x v="17"/>
    <x v="1"/>
    <n v="53807"/>
    <n v="85.69"/>
    <n v="78.92"/>
    <n v="364273.39"/>
  </r>
  <r>
    <s v="T0057"/>
    <x v="18"/>
    <x v="1"/>
    <n v="146995"/>
    <n v="89.52"/>
    <n v="79.150000000000006"/>
    <n v="1524338.15"/>
  </r>
  <r>
    <s v="T0055"/>
    <x v="19"/>
    <x v="0"/>
    <n v="66432"/>
    <n v="93.26"/>
    <n v="78.61"/>
    <n v="-973228.8"/>
  </r>
  <r>
    <s v="T0087"/>
    <x v="20"/>
    <x v="0"/>
    <n v="53116"/>
    <n v="87.16"/>
    <n v="79.36"/>
    <n v="-414304.8"/>
  </r>
  <r>
    <s v="T0109"/>
    <x v="20"/>
    <x v="0"/>
    <n v="62700"/>
    <n v="85.75"/>
    <n v="79.36"/>
    <n v="-400653"/>
  </r>
  <r>
    <s v="T0039"/>
    <x v="21"/>
    <x v="0"/>
    <n v="41542"/>
    <n v="90.55"/>
    <n v="79.36"/>
    <n v="-464854.98"/>
  </r>
  <r>
    <s v="T0044"/>
    <x v="21"/>
    <x v="1"/>
    <n v="102856"/>
    <n v="82.86"/>
    <n v="79.36"/>
    <n v="359996"/>
  </r>
  <r>
    <s v="T0062"/>
    <x v="22"/>
    <x v="1"/>
    <n v="41324"/>
    <n v="80.03"/>
    <n v="79.209999999999994"/>
    <n v="33885.68"/>
  </r>
  <r>
    <s v="T0101"/>
    <x v="23"/>
    <x v="1"/>
    <n v="73591"/>
    <n v="90.38"/>
    <n v="78.48"/>
    <n v="875732.9"/>
  </r>
  <r>
    <s v="T0020"/>
    <x v="24"/>
    <x v="0"/>
    <n v="51174"/>
    <n v="82.21"/>
    <n v="78.61"/>
    <n v="-184226.4"/>
  </r>
  <r>
    <s v="T0070"/>
    <x v="24"/>
    <x v="1"/>
    <n v="143605"/>
    <n v="84.96"/>
    <n v="78.61"/>
    <n v="911891.75"/>
  </r>
  <r>
    <s v="T0048"/>
    <x v="25"/>
    <x v="1"/>
    <n v="123460"/>
    <n v="75.739999999999995"/>
    <n v="77.430000000000007"/>
    <n v="-208647.4"/>
  </r>
  <r>
    <s v="T0005"/>
    <x v="26"/>
    <x v="1"/>
    <n v="142795"/>
    <n v="94.92"/>
    <n v="76.63"/>
    <n v="2611720.5499999998"/>
  </r>
  <r>
    <s v="T0094"/>
    <x v="26"/>
    <x v="0"/>
    <n v="120219"/>
    <n v="93.21"/>
    <n v="76.63"/>
    <n v="-1993231.02"/>
  </r>
  <r>
    <s v="T0010"/>
    <x v="27"/>
    <x v="1"/>
    <n v="145955"/>
    <n v="94.17"/>
    <n v="77.3"/>
    <n v="2462260.85"/>
  </r>
  <r>
    <s v="T0093"/>
    <x v="28"/>
    <x v="1"/>
    <n v="148492"/>
    <n v="84.02"/>
    <n v="77.23"/>
    <n v="1008260.68"/>
  </r>
  <r>
    <s v="T0065"/>
    <x v="29"/>
    <x v="1"/>
    <n v="129339"/>
    <n v="92.56"/>
    <n v="75.73"/>
    <n v="2176775.37"/>
  </r>
  <r>
    <s v="T0073"/>
    <x v="29"/>
    <x v="1"/>
    <n v="65289"/>
    <n v="81.16"/>
    <n v="75.73"/>
    <n v="354519.27"/>
  </r>
  <r>
    <s v="T0019"/>
    <x v="30"/>
    <x v="0"/>
    <n v="61689"/>
    <n v="80.319999999999993"/>
    <n v="76.09"/>
    <n v="-260944.47"/>
  </r>
  <r>
    <s v="T0023"/>
    <x v="30"/>
    <x v="1"/>
    <n v="49348"/>
    <n v="75.650000000000006"/>
    <n v="76.09"/>
    <n v="-21713.119999999999"/>
  </r>
  <r>
    <s v="T0041"/>
    <x v="30"/>
    <x v="0"/>
    <n v="86732"/>
    <n v="94.71"/>
    <n v="76.09"/>
    <n v="-1614949.84"/>
  </r>
  <r>
    <s v="T0060"/>
    <x v="30"/>
    <x v="1"/>
    <n v="80262"/>
    <n v="79.819999999999993"/>
    <n v="76.09"/>
    <n v="299377.26"/>
  </r>
  <r>
    <s v="T0063"/>
    <x v="31"/>
    <x v="1"/>
    <n v="131267"/>
    <n v="80.489999999999995"/>
    <n v="76.290000000000006"/>
    <n v="551321.4"/>
  </r>
  <r>
    <s v="T0117"/>
    <x v="31"/>
    <x v="0"/>
    <n v="61732"/>
    <n v="92.49"/>
    <n v="76.290000000000006"/>
    <n v="-1000058.4"/>
  </r>
  <r>
    <s v="T0097"/>
    <x v="32"/>
    <x v="1"/>
    <n v="139518"/>
    <n v="88.95"/>
    <n v="75.239999999999995"/>
    <n v="1912791.78"/>
  </r>
  <r>
    <s v="T0050"/>
    <x v="33"/>
    <x v="0"/>
    <n v="94693"/>
    <n v="75.27"/>
    <n v="75.430000000000007"/>
    <n v="15150.88"/>
  </r>
  <r>
    <s v="T0111"/>
    <x v="33"/>
    <x v="0"/>
    <n v="143214"/>
    <n v="86.7"/>
    <n v="75.430000000000007"/>
    <n v="-1614021.78"/>
  </r>
  <r>
    <s v="T0003"/>
    <x v="34"/>
    <x v="1"/>
    <n v="48335"/>
    <n v="79.34"/>
    <n v="75.2"/>
    <n v="200106.9"/>
  </r>
  <r>
    <s v="T0024"/>
    <x v="35"/>
    <x v="0"/>
    <n v="63714"/>
    <n v="80.599999999999994"/>
    <n v="75.16"/>
    <n v="-346604.16"/>
  </r>
  <r>
    <s v="T0037"/>
    <x v="35"/>
    <x v="1"/>
    <n v="117052"/>
    <n v="78.3"/>
    <n v="75.16"/>
    <n v="367543.28"/>
  </r>
  <r>
    <s v="T0081"/>
    <x v="35"/>
    <x v="0"/>
    <n v="126769"/>
    <n v="90.69"/>
    <n v="75.16"/>
    <n v="-1968722.57"/>
  </r>
  <r>
    <s v="T0120"/>
    <x v="35"/>
    <x v="0"/>
    <n v="53843"/>
    <n v="87.04"/>
    <n v="75.16"/>
    <n v="-639654.84"/>
  </r>
  <r>
    <s v="T0100"/>
    <x v="36"/>
    <x v="0"/>
    <n v="63960"/>
    <n v="91.84"/>
    <n v="75.83"/>
    <n v="-1023999.6"/>
  </r>
  <r>
    <s v="T0082"/>
    <x v="37"/>
    <x v="1"/>
    <n v="49435"/>
    <n v="87.79"/>
    <n v="75.650000000000006"/>
    <n v="600140.9"/>
  </r>
  <r>
    <s v="T0114"/>
    <x v="37"/>
    <x v="0"/>
    <n v="133396"/>
    <n v="78.599999999999994"/>
    <n v="75.650000000000006"/>
    <n v="-393518.2"/>
  </r>
  <r>
    <s v="T0115"/>
    <x v="37"/>
    <x v="1"/>
    <n v="101642"/>
    <n v="88.93"/>
    <n v="75.650000000000006"/>
    <n v="1349805.76"/>
  </r>
  <r>
    <s v="T0015"/>
    <x v="38"/>
    <x v="0"/>
    <n v="41062"/>
    <n v="78.39"/>
    <n v="76.430000000000007"/>
    <n v="-80481.52"/>
  </r>
  <r>
    <s v="T0099"/>
    <x v="38"/>
    <x v="0"/>
    <n v="68016"/>
    <n v="84.19"/>
    <n v="76.430000000000007"/>
    <n v="-527804.16000000003"/>
  </r>
  <r>
    <s v="T0059"/>
    <x v="39"/>
    <x v="0"/>
    <n v="97854"/>
    <n v="82.56"/>
    <n v="76.14"/>
    <n v="-628222.68000000005"/>
  </r>
  <r>
    <s v="T0112"/>
    <x v="40"/>
    <x v="0"/>
    <n v="60559"/>
    <n v="83.01"/>
    <n v="75.37"/>
    <n v="-462670.76"/>
  </r>
  <r>
    <s v="T0103"/>
    <x v="41"/>
    <x v="1"/>
    <n v="143333"/>
    <n v="75.92"/>
    <n v="75.14"/>
    <n v="111799.74"/>
  </r>
  <r>
    <s v="T0108"/>
    <x v="42"/>
    <x v="0"/>
    <n v="151276"/>
    <n v="81.83"/>
    <n v="75.95"/>
    <n v="-889502.88"/>
  </r>
  <r>
    <s v="T0077"/>
    <x v="43"/>
    <x v="0"/>
    <n v="55485"/>
    <n v="90.84"/>
    <n v="75.91"/>
    <n v="-828391.05"/>
  </r>
  <r>
    <s v="T0083"/>
    <x v="43"/>
    <x v="0"/>
    <n v="43709"/>
    <n v="91.1"/>
    <n v="75.91"/>
    <n v="-663939.71"/>
  </r>
  <r>
    <s v="T0038"/>
    <x v="44"/>
    <x v="0"/>
    <n v="84261"/>
    <n v="83.23"/>
    <n v="76.510000000000005"/>
    <n v="-566233.92000000004"/>
  </r>
  <r>
    <s v="T0118"/>
    <x v="45"/>
    <x v="1"/>
    <n v="131362"/>
    <n v="85.3"/>
    <n v="76.34"/>
    <n v="1177003.52"/>
  </r>
  <r>
    <s v="T0027"/>
    <x v="46"/>
    <x v="0"/>
    <n v="142634"/>
    <n v="80.42"/>
    <n v="76.83"/>
    <n v="-512056.06"/>
  </r>
  <r>
    <s v="T0006"/>
    <x v="47"/>
    <x v="0"/>
    <n v="129112"/>
    <n v="88.94"/>
    <n v="76.14"/>
    <n v="-1652633.6000000001"/>
  </r>
  <r>
    <s v="T0036"/>
    <x v="47"/>
    <x v="0"/>
    <n v="112592"/>
    <n v="86.03"/>
    <n v="76.14"/>
    <n v="-1113534.8799999999"/>
  </r>
  <r>
    <s v="T0030"/>
    <x v="48"/>
    <x v="1"/>
    <n v="143150"/>
    <n v="93.81"/>
    <n v="76.709999999999994"/>
    <n v="2447865"/>
  </r>
  <r>
    <s v="T0088"/>
    <x v="49"/>
    <x v="1"/>
    <n v="65470"/>
    <n v="87.73"/>
    <n v="75.930000000000007"/>
    <n v="772546"/>
  </r>
  <r>
    <s v="T0110"/>
    <x v="49"/>
    <x v="0"/>
    <n v="74620"/>
    <n v="84.2"/>
    <n v="75.930000000000007"/>
    <n v="-617107.4"/>
  </r>
  <r>
    <s v="T0116"/>
    <x v="49"/>
    <x v="1"/>
    <n v="116539"/>
    <n v="83.23"/>
    <n v="75.930000000000007"/>
    <n v="850734.7"/>
  </r>
  <r>
    <s v="T0001"/>
    <x v="50"/>
    <x v="0"/>
    <n v="100921"/>
    <n v="76.510000000000005"/>
    <n v="76.66"/>
    <n v="15138.15"/>
  </r>
  <r>
    <s v="T0013"/>
    <x v="50"/>
    <x v="1"/>
    <n v="106703"/>
    <n v="77.14"/>
    <n v="76.66"/>
    <n v="51217.440000000002"/>
  </r>
  <r>
    <s v="T0106"/>
    <x v="51"/>
    <x v="1"/>
    <n v="107641"/>
    <n v="79.180000000000007"/>
    <n v="77.3"/>
    <n v="202365.08"/>
  </r>
  <r>
    <s v="T0033"/>
    <x v="52"/>
    <x v="1"/>
    <n v="63625"/>
    <n v="93.38"/>
    <n v="76.88"/>
    <n v="1049812.5"/>
  </r>
  <r>
    <s v="T0072"/>
    <x v="52"/>
    <x v="1"/>
    <n v="158874"/>
    <n v="91.63"/>
    <n v="76.88"/>
    <n v="2343391.5"/>
  </r>
  <r>
    <s v="T0074"/>
    <x v="53"/>
    <x v="1"/>
    <n v="95129"/>
    <n v="91.33"/>
    <n v="76.45"/>
    <n v="1415519.52"/>
  </r>
  <r>
    <s v="T0002"/>
    <x v="54"/>
    <x v="0"/>
    <n v="45486"/>
    <n v="78.319999999999993"/>
    <n v="75.569999999999993"/>
    <n v="-125086.5"/>
  </r>
  <r>
    <s v="T0056"/>
    <x v="55"/>
    <x v="0"/>
    <n v="123285"/>
    <n v="86.7"/>
    <n v="75.75"/>
    <n v="-1349970.75"/>
  </r>
  <r>
    <s v="T0107"/>
    <x v="56"/>
    <x v="0"/>
    <n v="76395"/>
    <n v="86.59"/>
    <n v="75.91"/>
    <n v="-815898.6"/>
  </r>
  <r>
    <s v="T0011"/>
    <x v="57"/>
    <x v="0"/>
    <n v="158324"/>
    <n v="76.16"/>
    <n v="75.91"/>
    <n v="-39581"/>
  </r>
  <r>
    <s v="T0022"/>
    <x v="57"/>
    <x v="0"/>
    <n v="143033"/>
    <n v="84.06"/>
    <n v="75.91"/>
    <n v="-1165718.95"/>
  </r>
  <r>
    <s v="T0032"/>
    <x v="57"/>
    <x v="0"/>
    <n v="88136"/>
    <n v="86.62"/>
    <n v="75.91"/>
    <n v="-943936.56"/>
  </r>
  <r>
    <s v="T0068"/>
    <x v="57"/>
    <x v="1"/>
    <n v="112124"/>
    <n v="80.37"/>
    <n v="75.91"/>
    <n v="500073.04"/>
  </r>
  <r>
    <s v="T0075"/>
    <x v="57"/>
    <x v="0"/>
    <n v="133714"/>
    <n v="94.36"/>
    <n v="75.91"/>
    <n v="-2467023.2999999998"/>
  </r>
  <r>
    <s v="T0096"/>
    <x v="57"/>
    <x v="1"/>
    <n v="106040"/>
    <n v="85.47"/>
    <n v="75.91"/>
    <n v="1013742.4"/>
  </r>
  <r>
    <s v="T0007"/>
    <x v="58"/>
    <x v="1"/>
    <n v="137203"/>
    <n v="82.68"/>
    <n v="73.98"/>
    <n v="1193666.1000000001"/>
  </r>
  <r>
    <s v="T0029"/>
    <x v="58"/>
    <x v="0"/>
    <n v="46801"/>
    <n v="76.52"/>
    <n v="73.98"/>
    <n v="-118874.54"/>
  </r>
  <r>
    <s v="T0084"/>
    <x v="58"/>
    <x v="1"/>
    <n v="70355"/>
    <n v="93.06"/>
    <n v="73.98"/>
    <n v="1342373.4"/>
  </r>
  <r>
    <s v="T0092"/>
    <x v="58"/>
    <x v="0"/>
    <n v="79298"/>
    <n v="85.95"/>
    <n v="73.98"/>
    <n v="-949197.06"/>
  </r>
  <r>
    <s v="T0049"/>
    <x v="59"/>
    <x v="0"/>
    <n v="128092"/>
    <n v="77.680000000000007"/>
    <n v="75.52"/>
    <n v="-276678.71999999997"/>
  </r>
  <r>
    <s v="T0035"/>
    <x v="60"/>
    <x v="1"/>
    <n v="140843"/>
    <n v="92.53"/>
    <n v="75.47"/>
    <n v="2402781.58"/>
  </r>
  <r>
    <s v="T0058"/>
    <x v="61"/>
    <x v="0"/>
    <n v="131792"/>
    <n v="90.14"/>
    <n v="74.319999999999993"/>
    <n v="-2084949.44"/>
  </r>
  <r>
    <s v="T0014"/>
    <x v="62"/>
    <x v="1"/>
    <n v="67192"/>
    <n v="81.709999999999994"/>
    <n v="74.31"/>
    <n v="497220.8"/>
  </r>
  <r>
    <s v="T0031"/>
    <x v="62"/>
    <x v="1"/>
    <n v="112267"/>
    <n v="83.33"/>
    <n v="74.31"/>
    <n v="1012648.34"/>
  </r>
  <r>
    <s v="T0016"/>
    <x v="63"/>
    <x v="0"/>
    <n v="124076"/>
    <n v="87.94"/>
    <n v="74.34"/>
    <n v="-1687433.6"/>
  </r>
  <r>
    <s v="T0028"/>
    <x v="63"/>
    <x v="0"/>
    <n v="129930"/>
    <n v="77.66"/>
    <n v="74.34"/>
    <n v="-431367.6"/>
  </r>
  <r>
    <s v="T0086"/>
    <x v="64"/>
    <x v="0"/>
    <n v="97799"/>
    <n v="94.61"/>
    <n v="75.819999999999993"/>
    <n v="-1837643.21"/>
  </r>
  <r>
    <s v="T0045"/>
    <x v="65"/>
    <x v="0"/>
    <n v="133105"/>
    <n v="91.58"/>
    <n v="75.7"/>
    <n v="-2113707.4"/>
  </r>
  <r>
    <s v="T0105"/>
    <x v="65"/>
    <x v="1"/>
    <n v="154821"/>
    <n v="81.95"/>
    <n v="75.7"/>
    <n v="967631.25"/>
  </r>
  <r>
    <s v="T0026"/>
    <x v="66"/>
    <x v="0"/>
    <n v="114460"/>
    <n v="87.06"/>
    <n v="75.89"/>
    <n v="-1278518.2"/>
  </r>
  <r>
    <s v="T0076"/>
    <x v="66"/>
    <x v="0"/>
    <n v="134246"/>
    <n v="76.77"/>
    <n v="75.89"/>
    <n v="-118136.48"/>
  </r>
  <r>
    <s v="T0066"/>
    <x v="67"/>
    <x v="1"/>
    <n v="59870"/>
    <n v="90.14"/>
    <n v="75.86"/>
    <n v="854943.6"/>
  </r>
  <r>
    <s v="T0046"/>
    <x v="68"/>
    <x v="0"/>
    <n v="128858"/>
    <n v="86.38"/>
    <n v="75.849999999999994"/>
    <n v="-1356874.74"/>
  </r>
  <r>
    <s v="T0025"/>
    <x v="69"/>
    <x v="1"/>
    <n v="78102"/>
    <n v="83.22"/>
    <n v="76.3"/>
    <n v="540465.84"/>
  </r>
  <r>
    <s v="T0069"/>
    <x v="70"/>
    <x v="0"/>
    <n v="157611"/>
    <n v="75.44"/>
    <n v="76.23"/>
    <n v="124512.69"/>
  </r>
  <r>
    <s v="T0113"/>
    <x v="71"/>
    <x v="0"/>
    <n v="133045"/>
    <n v="88.95"/>
    <n v="76.58"/>
    <n v="-1645766.65"/>
  </r>
  <r>
    <s v="T0089"/>
    <x v="72"/>
    <x v="0"/>
    <n v="82344"/>
    <n v="86.1"/>
    <n v="77.3"/>
    <n v="-724627.2"/>
  </r>
  <r>
    <s v="T0004"/>
    <x v="73"/>
    <x v="0"/>
    <n v="126900"/>
    <n v="80.89"/>
    <n v="76.959999999999994"/>
    <n v="-498717"/>
  </r>
  <r>
    <s v="T0034"/>
    <x v="73"/>
    <x v="0"/>
    <n v="122873"/>
    <n v="76.650000000000006"/>
    <n v="76.959999999999994"/>
    <n v="38090.629999999997"/>
  </r>
  <r>
    <s v="T0042"/>
    <x v="73"/>
    <x v="0"/>
    <n v="90343"/>
    <n v="82.53"/>
    <n v="76.959999999999994"/>
    <n v="-503210.51"/>
  </r>
  <r>
    <s v="T0043"/>
    <x v="73"/>
    <x v="0"/>
    <n v="79081"/>
    <n v="89.99"/>
    <n v="76.959999999999994"/>
    <n v="-1030425.43"/>
  </r>
  <r>
    <s v="T0078"/>
    <x v="73"/>
    <x v="0"/>
    <n v="84482"/>
    <n v="86.8"/>
    <n v="76.959999999999994"/>
    <n v="-831302.88"/>
  </r>
  <r>
    <s v="T0008"/>
    <x v="74"/>
    <x v="0"/>
    <n v="51130"/>
    <n v="89.74"/>
    <n v="77.02"/>
    <n v="-650373.6"/>
  </r>
  <r>
    <s v="T0018"/>
    <x v="74"/>
    <x v="1"/>
    <n v="61545"/>
    <n v="79.59"/>
    <n v="77.02"/>
    <n v="158170.65"/>
  </r>
  <r>
    <s v="T0090"/>
    <x v="75"/>
    <x v="1"/>
    <n v="82918"/>
    <n v="76.819999999999993"/>
    <n v="76.72"/>
    <n v="8291.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C3C09-D5DA-48C1-93A9-1164163B8069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9">
    <pivotField showAll="0"/>
    <pivotField numFmtId="14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 sumSubtotal="1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stimated_value_impact_usd" fld="6" baseField="0" baseItem="0" numFmtId="167"/>
  </dataFields>
  <formats count="5">
    <format dxfId="5">
      <pivotArea outline="0" collapsedLevelsAreSubtotals="1" fieldPosition="0"/>
    </format>
    <format dxfId="6">
      <pivotArea collapsedLevelsAreSubtotals="1" fieldPosition="0">
        <references count="1">
          <reference field="2" count="1">
            <x v="0"/>
          </reference>
        </references>
      </pivotArea>
    </format>
    <format dxfId="7">
      <pivotArea dataOnly="0" labelOnly="1" fieldPosition="0">
        <references count="1">
          <reference field="2" count="1">
            <x v="0"/>
          </reference>
        </references>
      </pivotArea>
    </format>
    <format dxfId="8">
      <pivotArea collapsedLevelsAreSubtotals="1" fieldPosition="0">
        <references count="1">
          <reference field="2" count="1">
            <x v="1"/>
          </reference>
        </references>
      </pivotArea>
    </format>
    <format dxfId="9">
      <pivotArea dataOnly="0" labelOnly="1" fieldPosition="0">
        <references count="1">
          <reference field="2" count="1">
            <x v="1"/>
          </reference>
        </references>
      </pivotArea>
    </format>
  </formats>
  <chartFormats count="2">
    <chartFormat chart="3" format="2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57E3B-53CC-4414-B716-5E8D80EC3D53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9">
    <pivotField showAll="0"/>
    <pivotField numFmtId="14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8"/>
    <field x="7"/>
  </rowFields>
  <rowItems count="9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estimated_value_impact_usd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FADBA-098E-4448-BAC7-7D86F8F70975}" name="tbl_prices" displayName="tbl_prices" ref="A1:C132" totalsRowShown="0" headerRowDxfId="22">
  <autoFilter ref="A1:C132" xr:uid="{A26FADBA-098E-4448-BAC7-7D86F8F70975}"/>
  <tableColumns count="3">
    <tableColumn id="1" xr3:uid="{97AC5818-B3BA-48C4-A827-1A3036E0C323}" name="price_date  " dataDxfId="21"/>
    <tableColumn id="2" xr3:uid="{63A500A1-97A2-41C1-BAC0-39919D832BA5}" name="market_price_usd" dataDxfId="20"/>
    <tableColumn id="3" xr3:uid="{F8A2DC72-BABB-42EA-9849-CF2B1C0C01A4}" name="avg_price_7d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652E4C-B168-4163-BC96-96BDA345D1F7}" name="tbl_trades" displayName="tbl_trades" ref="E1:K121" totalsRowShown="0" headerRowDxfId="23" dataDxfId="24">
  <autoFilter ref="E1:K121" xr:uid="{4F652E4C-B168-4163-BC96-96BDA345D1F7}"/>
  <sortState xmlns:xlrd2="http://schemas.microsoft.com/office/spreadsheetml/2017/richdata2" ref="E2:K121">
    <sortCondition descending="1" ref="K2:K121"/>
  </sortState>
  <tableColumns count="7">
    <tableColumn id="1" xr3:uid="{C59435A6-0DCF-48A4-B7CC-2D3AE11674BA}" name="trade_id" dataDxfId="31"/>
    <tableColumn id="2" xr3:uid="{67E35108-EB58-4AAF-A143-00796D22C2BB}" name="trade_date" dataDxfId="30"/>
    <tableColumn id="3" xr3:uid="{5D8E629D-5F71-482F-A86D-9F19E08C9494}" name="buy_sell " dataDxfId="29"/>
    <tableColumn id="4" xr3:uid="{E4EA76BD-2499-49CF-8848-F275E8D4BFEB}" name="volume_barrels " dataDxfId="28"/>
    <tableColumn id="5" xr3:uid="{189D256C-DEED-46BF-8AFC-C73E1DF0EBC5}" name="trade_price_usd " dataDxfId="27"/>
    <tableColumn id="6" xr3:uid="{0CE61E8D-7596-4C1F-8C9D-9E4B1B8DDF0D}" name="market_price_usd " dataDxfId="26"/>
    <tableColumn id="7" xr3:uid="{7C332562-8F2E-4493-8433-D8B86F2227E3}" name="estimated_value_impact_usd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4174-0B18-48B4-9289-205D46AB245B}">
  <dimension ref="A1:K132"/>
  <sheetViews>
    <sheetView tabSelected="1" workbookViewId="0">
      <selection activeCell="R18" sqref="R18"/>
    </sheetView>
  </sheetViews>
  <sheetFormatPr defaultRowHeight="14.4" x14ac:dyDescent="0.3"/>
  <cols>
    <col min="1" max="1" width="12.6640625" style="1" customWidth="1"/>
    <col min="2" max="2" width="18" style="1" customWidth="1"/>
    <col min="3" max="3" width="14.109375" style="1" customWidth="1"/>
    <col min="4" max="5" width="12.21875" style="1" customWidth="1"/>
    <col min="6" max="6" width="12.109375" style="1" customWidth="1"/>
    <col min="7" max="7" width="10.21875" style="1" customWidth="1"/>
    <col min="8" max="8" width="16.33203125" style="1" customWidth="1"/>
    <col min="9" max="9" width="16.88671875" style="1" customWidth="1"/>
    <col min="10" max="10" width="18.44140625" style="1" customWidth="1"/>
    <col min="11" max="11" width="27.5546875" style="1" customWidth="1"/>
  </cols>
  <sheetData>
    <row r="1" spans="1:11" x14ac:dyDescent="0.3">
      <c r="A1" s="1" t="s">
        <v>1</v>
      </c>
      <c r="B1" s="1" t="s">
        <v>3</v>
      </c>
      <c r="C1" s="1" t="s">
        <v>2</v>
      </c>
      <c r="E1" s="1" t="s">
        <v>4</v>
      </c>
      <c r="F1" s="1" t="s">
        <v>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>
        <v>45201</v>
      </c>
      <c r="B2" s="1">
        <v>82.3</v>
      </c>
      <c r="C2" s="1">
        <v>82.3</v>
      </c>
      <c r="E2" s="2" t="s">
        <v>46</v>
      </c>
      <c r="F2" s="2">
        <v>45253</v>
      </c>
      <c r="G2" s="1" t="s">
        <v>13</v>
      </c>
      <c r="H2" s="1">
        <v>142795</v>
      </c>
      <c r="I2" s="1">
        <v>94.92</v>
      </c>
      <c r="J2" s="1">
        <v>76.63</v>
      </c>
      <c r="K2" s="1">
        <v>2611720.5499999998</v>
      </c>
    </row>
    <row r="3" spans="1:11" x14ac:dyDescent="0.3">
      <c r="A3" s="2">
        <v>45202</v>
      </c>
      <c r="B3" s="1">
        <v>82.22</v>
      </c>
      <c r="C3" s="1">
        <v>82.26</v>
      </c>
      <c r="E3" s="2" t="s">
        <v>48</v>
      </c>
      <c r="F3" s="2">
        <v>45258</v>
      </c>
      <c r="G3" s="1" t="s">
        <v>13</v>
      </c>
      <c r="H3" s="1">
        <v>145955</v>
      </c>
      <c r="I3" s="1">
        <v>94.17</v>
      </c>
      <c r="J3" s="1">
        <v>77.3</v>
      </c>
      <c r="K3" s="1">
        <v>2462260.85</v>
      </c>
    </row>
    <row r="4" spans="1:11" x14ac:dyDescent="0.3">
      <c r="A4" s="2">
        <v>45203</v>
      </c>
      <c r="B4" s="1">
        <v>82.6</v>
      </c>
      <c r="C4" s="1">
        <v>82.37</v>
      </c>
      <c r="E4" s="2" t="s">
        <v>83</v>
      </c>
      <c r="F4" s="2">
        <v>45316</v>
      </c>
      <c r="G4" s="1" t="s">
        <v>13</v>
      </c>
      <c r="H4" s="1">
        <v>143150</v>
      </c>
      <c r="I4" s="1">
        <v>93.81</v>
      </c>
      <c r="J4" s="1">
        <v>76.709999999999994</v>
      </c>
      <c r="K4" s="1">
        <v>2447865</v>
      </c>
    </row>
    <row r="5" spans="1:11" x14ac:dyDescent="0.3">
      <c r="A5" s="2">
        <v>45204</v>
      </c>
      <c r="B5" s="1">
        <v>83.52</v>
      </c>
      <c r="C5" s="1">
        <v>82.66</v>
      </c>
      <c r="E5" s="2" t="s">
        <v>107</v>
      </c>
      <c r="F5" s="2">
        <v>45352</v>
      </c>
      <c r="G5" s="1" t="s">
        <v>13</v>
      </c>
      <c r="H5" s="1">
        <v>140843</v>
      </c>
      <c r="I5" s="1">
        <v>92.53</v>
      </c>
      <c r="J5" s="1">
        <v>75.47</v>
      </c>
      <c r="K5" s="1">
        <v>2402781.58</v>
      </c>
    </row>
    <row r="6" spans="1:11" x14ac:dyDescent="0.3">
      <c r="A6" s="2">
        <v>45205</v>
      </c>
      <c r="B6" s="1">
        <v>83.38</v>
      </c>
      <c r="C6" s="1">
        <v>82.8</v>
      </c>
      <c r="E6" s="2" t="s">
        <v>91</v>
      </c>
      <c r="F6" s="2">
        <v>45329</v>
      </c>
      <c r="G6" s="1" t="s">
        <v>13</v>
      </c>
      <c r="H6" s="1">
        <v>158874</v>
      </c>
      <c r="I6" s="1">
        <v>91.63</v>
      </c>
      <c r="J6" s="1">
        <v>76.88</v>
      </c>
      <c r="K6" s="1">
        <v>2343391.5</v>
      </c>
    </row>
    <row r="7" spans="1:11" x14ac:dyDescent="0.3">
      <c r="A7" s="2">
        <v>45208</v>
      </c>
      <c r="B7" s="1">
        <v>83.24</v>
      </c>
      <c r="C7" s="1">
        <v>82.88</v>
      </c>
      <c r="E7" s="2" t="s">
        <v>50</v>
      </c>
      <c r="F7" s="2">
        <v>45264</v>
      </c>
      <c r="G7" s="1" t="s">
        <v>13</v>
      </c>
      <c r="H7" s="1">
        <v>129339</v>
      </c>
      <c r="I7" s="1">
        <v>92.56</v>
      </c>
      <c r="J7" s="1">
        <v>75.73</v>
      </c>
      <c r="K7" s="1">
        <v>2176775.37</v>
      </c>
    </row>
    <row r="8" spans="1:11" x14ac:dyDescent="0.3">
      <c r="A8" s="2">
        <v>45209</v>
      </c>
      <c r="B8" s="1">
        <v>84.18</v>
      </c>
      <c r="C8" s="1">
        <v>83.06</v>
      </c>
      <c r="E8" s="2" t="s">
        <v>58</v>
      </c>
      <c r="F8" s="2">
        <v>45268</v>
      </c>
      <c r="G8" s="1" t="s">
        <v>13</v>
      </c>
      <c r="H8" s="1">
        <v>139518</v>
      </c>
      <c r="I8" s="1">
        <v>88.95</v>
      </c>
      <c r="J8" s="1">
        <v>75.239999999999995</v>
      </c>
      <c r="K8" s="1">
        <v>1912791.78</v>
      </c>
    </row>
    <row r="9" spans="1:11" x14ac:dyDescent="0.3">
      <c r="A9" s="2">
        <v>45210</v>
      </c>
      <c r="B9" s="1">
        <v>84.64</v>
      </c>
      <c r="C9" s="1">
        <v>83.4</v>
      </c>
      <c r="E9" s="2" t="s">
        <v>35</v>
      </c>
      <c r="F9" s="2">
        <v>45238</v>
      </c>
      <c r="G9" s="1" t="s">
        <v>13</v>
      </c>
      <c r="H9" s="1">
        <v>146995</v>
      </c>
      <c r="I9" s="1">
        <v>89.52</v>
      </c>
      <c r="J9" s="1">
        <v>79.150000000000006</v>
      </c>
      <c r="K9" s="1">
        <v>1524338.15</v>
      </c>
    </row>
    <row r="10" spans="1:11" x14ac:dyDescent="0.3">
      <c r="A10" s="2">
        <v>45211</v>
      </c>
      <c r="B10" s="1">
        <v>84.36</v>
      </c>
      <c r="C10" s="1">
        <v>83.7</v>
      </c>
      <c r="E10" s="2" t="s">
        <v>92</v>
      </c>
      <c r="F10" s="2">
        <v>45331</v>
      </c>
      <c r="G10" s="1" t="s">
        <v>13</v>
      </c>
      <c r="H10" s="1">
        <v>95129</v>
      </c>
      <c r="I10" s="1">
        <v>91.33</v>
      </c>
      <c r="J10" s="1">
        <v>76.45</v>
      </c>
      <c r="K10" s="1">
        <v>1415519.52</v>
      </c>
    </row>
    <row r="11" spans="1:11" x14ac:dyDescent="0.3">
      <c r="A11" s="2">
        <v>45212</v>
      </c>
      <c r="B11" s="1">
        <v>84.69</v>
      </c>
      <c r="C11" s="1">
        <v>84</v>
      </c>
      <c r="E11" s="2" t="s">
        <v>69</v>
      </c>
      <c r="F11" s="2">
        <v>45280</v>
      </c>
      <c r="G11" s="1" t="s">
        <v>13</v>
      </c>
      <c r="H11" s="1">
        <v>101642</v>
      </c>
      <c r="I11" s="1">
        <v>88.93</v>
      </c>
      <c r="J11" s="1">
        <v>75.650000000000006</v>
      </c>
      <c r="K11" s="1">
        <v>1349805.76</v>
      </c>
    </row>
    <row r="12" spans="1:11" x14ac:dyDescent="0.3">
      <c r="A12" s="2">
        <v>45215</v>
      </c>
      <c r="B12" s="1">
        <v>84.41</v>
      </c>
      <c r="C12" s="1">
        <v>84.13</v>
      </c>
      <c r="E12" s="2" t="s">
        <v>104</v>
      </c>
      <c r="F12" s="2">
        <v>45344</v>
      </c>
      <c r="G12" s="1" t="s">
        <v>13</v>
      </c>
      <c r="H12" s="1">
        <v>70355</v>
      </c>
      <c r="I12" s="1">
        <v>93.06</v>
      </c>
      <c r="J12" s="1">
        <v>73.98</v>
      </c>
      <c r="K12" s="1">
        <v>1342373.4</v>
      </c>
    </row>
    <row r="13" spans="1:11" x14ac:dyDescent="0.3">
      <c r="A13" s="2">
        <v>45216</v>
      </c>
      <c r="B13" s="1">
        <v>84.13</v>
      </c>
      <c r="C13" s="1">
        <v>84.24</v>
      </c>
      <c r="E13" s="2" t="s">
        <v>102</v>
      </c>
      <c r="F13" s="2">
        <v>45344</v>
      </c>
      <c r="G13" s="1" t="s">
        <v>13</v>
      </c>
      <c r="H13" s="1">
        <v>137203</v>
      </c>
      <c r="I13" s="1">
        <v>82.68</v>
      </c>
      <c r="J13" s="1">
        <v>73.98</v>
      </c>
      <c r="K13" s="1">
        <v>1193666.1000000001</v>
      </c>
    </row>
    <row r="14" spans="1:11" x14ac:dyDescent="0.3">
      <c r="A14" s="2">
        <v>45217</v>
      </c>
      <c r="B14" s="1">
        <v>84.28</v>
      </c>
      <c r="C14" s="1">
        <v>84.38</v>
      </c>
      <c r="E14" s="2" t="s">
        <v>79</v>
      </c>
      <c r="F14" s="2">
        <v>45296</v>
      </c>
      <c r="G14" s="1" t="s">
        <v>13</v>
      </c>
      <c r="H14" s="1">
        <v>131362</v>
      </c>
      <c r="I14" s="1">
        <v>85.3</v>
      </c>
      <c r="J14" s="1">
        <v>76.34</v>
      </c>
      <c r="K14" s="1">
        <v>1177003.52</v>
      </c>
    </row>
    <row r="15" spans="1:11" x14ac:dyDescent="0.3">
      <c r="A15" s="2">
        <v>45218</v>
      </c>
      <c r="B15" s="1">
        <v>83.13</v>
      </c>
      <c r="C15" s="1">
        <v>84.23</v>
      </c>
      <c r="E15" s="2" t="s">
        <v>90</v>
      </c>
      <c r="F15" s="2">
        <v>45329</v>
      </c>
      <c r="G15" s="1" t="s">
        <v>13</v>
      </c>
      <c r="H15" s="1">
        <v>63625</v>
      </c>
      <c r="I15" s="1">
        <v>93.38</v>
      </c>
      <c r="J15" s="1">
        <v>76.88</v>
      </c>
      <c r="K15" s="1">
        <v>1049812.5</v>
      </c>
    </row>
    <row r="16" spans="1:11" x14ac:dyDescent="0.3">
      <c r="A16" s="2">
        <v>45219</v>
      </c>
      <c r="B16" s="1">
        <v>82.09</v>
      </c>
      <c r="C16" s="1">
        <v>83.87</v>
      </c>
      <c r="E16" s="2" t="s">
        <v>101</v>
      </c>
      <c r="F16" s="2">
        <v>45337</v>
      </c>
      <c r="G16" s="1" t="s">
        <v>13</v>
      </c>
      <c r="H16" s="1">
        <v>106040</v>
      </c>
      <c r="I16" s="1">
        <v>85.47</v>
      </c>
      <c r="J16" s="1">
        <v>75.91</v>
      </c>
      <c r="K16" s="1">
        <v>1013742.4</v>
      </c>
    </row>
    <row r="17" spans="1:11" x14ac:dyDescent="0.3">
      <c r="A17" s="2">
        <v>45222</v>
      </c>
      <c r="B17" s="1">
        <v>81.760000000000005</v>
      </c>
      <c r="C17" s="1">
        <v>83.5</v>
      </c>
      <c r="E17" s="2" t="s">
        <v>110</v>
      </c>
      <c r="F17" s="2">
        <v>45356</v>
      </c>
      <c r="G17" s="1" t="s">
        <v>13</v>
      </c>
      <c r="H17" s="1">
        <v>112267</v>
      </c>
      <c r="I17" s="1">
        <v>83.33</v>
      </c>
      <c r="J17" s="1">
        <v>74.31</v>
      </c>
      <c r="K17" s="1">
        <v>1012648.34</v>
      </c>
    </row>
    <row r="18" spans="1:11" x14ac:dyDescent="0.3">
      <c r="A18" s="2">
        <v>45223</v>
      </c>
      <c r="B18" s="1">
        <v>81.150000000000006</v>
      </c>
      <c r="C18" s="1">
        <v>82.99</v>
      </c>
      <c r="E18" s="2" t="s">
        <v>49</v>
      </c>
      <c r="F18" s="2">
        <v>45259</v>
      </c>
      <c r="G18" s="1" t="s">
        <v>13</v>
      </c>
      <c r="H18" s="1">
        <v>148492</v>
      </c>
      <c r="I18" s="1">
        <v>84.02</v>
      </c>
      <c r="J18" s="1">
        <v>77.23</v>
      </c>
      <c r="K18" s="1">
        <v>1008260.68</v>
      </c>
    </row>
    <row r="19" spans="1:11" x14ac:dyDescent="0.3">
      <c r="A19" s="2">
        <v>45224</v>
      </c>
      <c r="B19" s="1">
        <v>81.34</v>
      </c>
      <c r="C19" s="1">
        <v>82.55</v>
      </c>
      <c r="E19" s="2" t="s">
        <v>115</v>
      </c>
      <c r="F19" s="2">
        <v>45359</v>
      </c>
      <c r="G19" s="1" t="s">
        <v>13</v>
      </c>
      <c r="H19" s="1">
        <v>154821</v>
      </c>
      <c r="I19" s="1">
        <v>81.95</v>
      </c>
      <c r="J19" s="1">
        <v>75.7</v>
      </c>
      <c r="K19" s="1">
        <v>967631.25</v>
      </c>
    </row>
    <row r="20" spans="1:11" x14ac:dyDescent="0.3">
      <c r="A20" s="2">
        <v>45225</v>
      </c>
      <c r="B20" s="1">
        <v>80.790000000000006</v>
      </c>
      <c r="C20" s="1">
        <v>82.08</v>
      </c>
      <c r="E20" s="2" t="s">
        <v>20</v>
      </c>
      <c r="F20" s="2">
        <v>45217</v>
      </c>
      <c r="G20" s="1" t="s">
        <v>13</v>
      </c>
      <c r="H20" s="1">
        <v>139835</v>
      </c>
      <c r="I20" s="1">
        <v>90.93</v>
      </c>
      <c r="J20" s="1">
        <v>84.28</v>
      </c>
      <c r="K20" s="1">
        <v>929902.75</v>
      </c>
    </row>
    <row r="21" spans="1:11" x14ac:dyDescent="0.3">
      <c r="A21" s="2">
        <v>45226</v>
      </c>
      <c r="B21" s="1">
        <v>79.94</v>
      </c>
      <c r="C21" s="1">
        <v>81.459999999999994</v>
      </c>
      <c r="E21" s="2" t="s">
        <v>44</v>
      </c>
      <c r="F21" s="2">
        <v>45251</v>
      </c>
      <c r="G21" s="1" t="s">
        <v>13</v>
      </c>
      <c r="H21" s="1">
        <v>143605</v>
      </c>
      <c r="I21" s="1">
        <v>84.96</v>
      </c>
      <c r="J21" s="1">
        <v>78.61</v>
      </c>
      <c r="K21" s="1">
        <v>911891.75</v>
      </c>
    </row>
    <row r="22" spans="1:11" x14ac:dyDescent="0.3">
      <c r="A22" s="2">
        <v>45229</v>
      </c>
      <c r="B22" s="1">
        <v>80.819999999999993</v>
      </c>
      <c r="C22" s="1">
        <v>81.13</v>
      </c>
      <c r="E22" s="2" t="s">
        <v>42</v>
      </c>
      <c r="F22" s="2">
        <v>45250</v>
      </c>
      <c r="G22" s="1" t="s">
        <v>13</v>
      </c>
      <c r="H22" s="1">
        <v>73591</v>
      </c>
      <c r="I22" s="1">
        <v>90.38</v>
      </c>
      <c r="J22" s="1">
        <v>78.48</v>
      </c>
      <c r="K22" s="1">
        <v>875732.9</v>
      </c>
    </row>
    <row r="23" spans="1:11" x14ac:dyDescent="0.3">
      <c r="A23" s="2">
        <v>45230</v>
      </c>
      <c r="B23" s="1">
        <v>80.69</v>
      </c>
      <c r="C23" s="1">
        <v>80.930000000000007</v>
      </c>
      <c r="E23" s="2" t="s">
        <v>21</v>
      </c>
      <c r="F23" s="2">
        <v>45219</v>
      </c>
      <c r="G23" s="1" t="s">
        <v>13</v>
      </c>
      <c r="H23" s="1">
        <v>70354</v>
      </c>
      <c r="I23" s="1">
        <v>94.46</v>
      </c>
      <c r="J23" s="1">
        <v>82.09</v>
      </c>
      <c r="K23" s="1">
        <v>870278.98</v>
      </c>
    </row>
    <row r="24" spans="1:11" x14ac:dyDescent="0.3">
      <c r="A24" s="2">
        <v>45231</v>
      </c>
      <c r="B24" s="1">
        <v>80.73</v>
      </c>
      <c r="C24" s="1">
        <v>80.78</v>
      </c>
      <c r="E24" s="2" t="s">
        <v>118</v>
      </c>
      <c r="F24" s="2">
        <v>45363</v>
      </c>
      <c r="G24" s="1" t="s">
        <v>13</v>
      </c>
      <c r="H24" s="1">
        <v>59870</v>
      </c>
      <c r="I24" s="1">
        <v>90.14</v>
      </c>
      <c r="J24" s="1">
        <v>75.86</v>
      </c>
      <c r="K24" s="1">
        <v>854943.6</v>
      </c>
    </row>
    <row r="25" spans="1:11" x14ac:dyDescent="0.3">
      <c r="A25" s="2">
        <v>45232</v>
      </c>
      <c r="B25" s="1">
        <v>79.87</v>
      </c>
      <c r="C25" s="1">
        <v>80.599999999999994</v>
      </c>
      <c r="E25" s="2" t="s">
        <v>86</v>
      </c>
      <c r="F25" s="2">
        <v>45320</v>
      </c>
      <c r="G25" s="1" t="s">
        <v>13</v>
      </c>
      <c r="H25" s="1">
        <v>116539</v>
      </c>
      <c r="I25" s="1">
        <v>83.23</v>
      </c>
      <c r="J25" s="1">
        <v>75.930000000000007</v>
      </c>
      <c r="K25" s="1">
        <v>850734.7</v>
      </c>
    </row>
    <row r="26" spans="1:11" x14ac:dyDescent="0.3">
      <c r="A26" s="2">
        <v>45233</v>
      </c>
      <c r="B26" s="1">
        <v>79.55</v>
      </c>
      <c r="C26" s="1">
        <v>80.34</v>
      </c>
      <c r="E26" s="2" t="s">
        <v>84</v>
      </c>
      <c r="F26" s="2">
        <v>45320</v>
      </c>
      <c r="G26" s="1" t="s">
        <v>13</v>
      </c>
      <c r="H26" s="1">
        <v>65470</v>
      </c>
      <c r="I26" s="1">
        <v>87.73</v>
      </c>
      <c r="J26" s="1">
        <v>75.930000000000007</v>
      </c>
      <c r="K26" s="1">
        <v>772546</v>
      </c>
    </row>
    <row r="27" spans="1:11" x14ac:dyDescent="0.3">
      <c r="A27" s="2">
        <v>45236</v>
      </c>
      <c r="B27" s="1">
        <v>79.61</v>
      </c>
      <c r="C27" s="1">
        <v>80.17</v>
      </c>
      <c r="E27" s="2" t="s">
        <v>27</v>
      </c>
      <c r="F27" s="2">
        <v>45229</v>
      </c>
      <c r="G27" s="1" t="s">
        <v>13</v>
      </c>
      <c r="H27" s="1">
        <v>82348</v>
      </c>
      <c r="I27" s="1">
        <v>90</v>
      </c>
      <c r="J27" s="1">
        <v>80.819999999999993</v>
      </c>
      <c r="K27" s="1">
        <v>755954.64</v>
      </c>
    </row>
    <row r="28" spans="1:11" x14ac:dyDescent="0.3">
      <c r="A28" s="2">
        <v>45237</v>
      </c>
      <c r="B28" s="1">
        <v>78.92</v>
      </c>
      <c r="C28" s="1">
        <v>80.03</v>
      </c>
      <c r="E28" s="2" t="s">
        <v>67</v>
      </c>
      <c r="F28" s="2">
        <v>45280</v>
      </c>
      <c r="G28" s="1" t="s">
        <v>13</v>
      </c>
      <c r="H28" s="1">
        <v>49435</v>
      </c>
      <c r="I28" s="1">
        <v>87.79</v>
      </c>
      <c r="J28" s="1">
        <v>75.650000000000006</v>
      </c>
      <c r="K28" s="1">
        <v>600140.9</v>
      </c>
    </row>
    <row r="29" spans="1:11" x14ac:dyDescent="0.3">
      <c r="A29" s="2">
        <v>45238</v>
      </c>
      <c r="B29" s="1">
        <v>79.150000000000006</v>
      </c>
      <c r="C29" s="1">
        <v>79.790000000000006</v>
      </c>
      <c r="E29" s="2" t="s">
        <v>56</v>
      </c>
      <c r="F29" s="2">
        <v>45267</v>
      </c>
      <c r="G29" s="1" t="s">
        <v>13</v>
      </c>
      <c r="H29" s="1">
        <v>131267</v>
      </c>
      <c r="I29" s="1">
        <v>80.489999999999995</v>
      </c>
      <c r="J29" s="1">
        <v>76.290000000000006</v>
      </c>
      <c r="K29" s="1">
        <v>551321.4</v>
      </c>
    </row>
    <row r="30" spans="1:11" x14ac:dyDescent="0.3">
      <c r="A30" s="2">
        <v>45239</v>
      </c>
      <c r="B30" s="1">
        <v>78.790000000000006</v>
      </c>
      <c r="C30" s="1">
        <v>79.52</v>
      </c>
      <c r="E30" s="2" t="s">
        <v>120</v>
      </c>
      <c r="F30" s="2">
        <v>45366</v>
      </c>
      <c r="G30" s="1" t="s">
        <v>13</v>
      </c>
      <c r="H30" s="1">
        <v>78102</v>
      </c>
      <c r="I30" s="1">
        <v>83.22</v>
      </c>
      <c r="J30" s="1">
        <v>76.3</v>
      </c>
      <c r="K30" s="1">
        <v>540465.84</v>
      </c>
    </row>
    <row r="31" spans="1:11" x14ac:dyDescent="0.3">
      <c r="A31" s="2">
        <v>45240</v>
      </c>
      <c r="B31" s="1">
        <v>78.61</v>
      </c>
      <c r="C31" s="1">
        <v>79.209999999999994</v>
      </c>
      <c r="E31" s="2" t="s">
        <v>18</v>
      </c>
      <c r="F31" s="2">
        <v>45211</v>
      </c>
      <c r="G31" s="1" t="s">
        <v>11</v>
      </c>
      <c r="H31" s="1">
        <v>128461</v>
      </c>
      <c r="I31" s="1">
        <v>80.2</v>
      </c>
      <c r="J31" s="1">
        <v>84.36</v>
      </c>
      <c r="K31" s="1">
        <v>534397.76</v>
      </c>
    </row>
    <row r="32" spans="1:11" x14ac:dyDescent="0.3">
      <c r="A32" s="2">
        <v>45243</v>
      </c>
      <c r="B32" s="1">
        <v>78.25</v>
      </c>
      <c r="C32" s="1">
        <v>78.98</v>
      </c>
      <c r="E32" s="2" t="s">
        <v>99</v>
      </c>
      <c r="F32" s="2">
        <v>45337</v>
      </c>
      <c r="G32" s="1" t="s">
        <v>13</v>
      </c>
      <c r="H32" s="1">
        <v>112124</v>
      </c>
      <c r="I32" s="1">
        <v>80.37</v>
      </c>
      <c r="J32" s="1">
        <v>75.91</v>
      </c>
      <c r="K32" s="1">
        <v>500073.04</v>
      </c>
    </row>
    <row r="33" spans="1:11" x14ac:dyDescent="0.3">
      <c r="A33" s="2">
        <v>45244</v>
      </c>
      <c r="B33" s="1">
        <v>79.36</v>
      </c>
      <c r="C33" s="1">
        <v>78.959999999999994</v>
      </c>
      <c r="E33" s="2" t="s">
        <v>109</v>
      </c>
      <c r="F33" s="2">
        <v>45356</v>
      </c>
      <c r="G33" s="1" t="s">
        <v>13</v>
      </c>
      <c r="H33" s="1">
        <v>67192</v>
      </c>
      <c r="I33" s="1">
        <v>81.709999999999994</v>
      </c>
      <c r="J33" s="1">
        <v>74.31</v>
      </c>
      <c r="K33" s="1">
        <v>497220.8</v>
      </c>
    </row>
    <row r="34" spans="1:11" x14ac:dyDescent="0.3">
      <c r="A34" s="2">
        <v>45245</v>
      </c>
      <c r="B34" s="1">
        <v>79.36</v>
      </c>
      <c r="C34" s="1">
        <v>78.92</v>
      </c>
      <c r="E34" s="2" t="s">
        <v>63</v>
      </c>
      <c r="F34" s="2">
        <v>45274</v>
      </c>
      <c r="G34" s="1" t="s">
        <v>13</v>
      </c>
      <c r="H34" s="1">
        <v>117052</v>
      </c>
      <c r="I34" s="1">
        <v>78.3</v>
      </c>
      <c r="J34" s="1">
        <v>75.16</v>
      </c>
      <c r="K34" s="1">
        <v>367543.28</v>
      </c>
    </row>
    <row r="35" spans="1:11" x14ac:dyDescent="0.3">
      <c r="A35" s="2">
        <v>45246</v>
      </c>
      <c r="B35" s="1">
        <v>78.72</v>
      </c>
      <c r="C35" s="1">
        <v>78.89</v>
      </c>
      <c r="E35" s="2" t="s">
        <v>34</v>
      </c>
      <c r="F35" s="2">
        <v>45237</v>
      </c>
      <c r="G35" s="1" t="s">
        <v>13</v>
      </c>
      <c r="H35" s="1">
        <v>53807</v>
      </c>
      <c r="I35" s="1">
        <v>85.69</v>
      </c>
      <c r="J35" s="1">
        <v>78.92</v>
      </c>
      <c r="K35" s="1">
        <v>364273.39</v>
      </c>
    </row>
    <row r="36" spans="1:11" x14ac:dyDescent="0.3">
      <c r="A36" s="2">
        <v>45247</v>
      </c>
      <c r="B36" s="1">
        <v>79.209999999999994</v>
      </c>
      <c r="C36" s="1">
        <v>78.900000000000006</v>
      </c>
      <c r="E36" s="2" t="s">
        <v>40</v>
      </c>
      <c r="F36" s="2">
        <v>45245</v>
      </c>
      <c r="G36" s="1" t="s">
        <v>13</v>
      </c>
      <c r="H36" s="1">
        <v>102856</v>
      </c>
      <c r="I36" s="1">
        <v>82.86</v>
      </c>
      <c r="J36" s="1">
        <v>79.36</v>
      </c>
      <c r="K36" s="1">
        <v>359996</v>
      </c>
    </row>
    <row r="37" spans="1:11" x14ac:dyDescent="0.3">
      <c r="A37" s="2">
        <v>45250</v>
      </c>
      <c r="B37" s="1">
        <v>78.48</v>
      </c>
      <c r="C37" s="1">
        <v>78.86</v>
      </c>
      <c r="E37" s="2" t="s">
        <v>51</v>
      </c>
      <c r="F37" s="2">
        <v>45264</v>
      </c>
      <c r="G37" s="1" t="s">
        <v>13</v>
      </c>
      <c r="H37" s="1">
        <v>65289</v>
      </c>
      <c r="I37" s="1">
        <v>81.16</v>
      </c>
      <c r="J37" s="1">
        <v>75.73</v>
      </c>
      <c r="K37" s="1">
        <v>354519.27</v>
      </c>
    </row>
    <row r="38" spans="1:11" x14ac:dyDescent="0.3">
      <c r="A38" s="2">
        <v>45251</v>
      </c>
      <c r="B38" s="1">
        <v>78.61</v>
      </c>
      <c r="C38" s="1">
        <v>78.86</v>
      </c>
      <c r="E38" s="2" t="s">
        <v>29</v>
      </c>
      <c r="F38" s="2">
        <v>45232</v>
      </c>
      <c r="G38" s="1" t="s">
        <v>13</v>
      </c>
      <c r="H38" s="1">
        <v>66790</v>
      </c>
      <c r="I38" s="1">
        <v>84.52</v>
      </c>
      <c r="J38" s="1">
        <v>79.87</v>
      </c>
      <c r="K38" s="1">
        <v>310573.5</v>
      </c>
    </row>
    <row r="39" spans="1:11" x14ac:dyDescent="0.3">
      <c r="A39" s="2">
        <v>45252</v>
      </c>
      <c r="B39" s="1">
        <v>77.430000000000007</v>
      </c>
      <c r="C39" s="1">
        <v>78.739999999999995</v>
      </c>
      <c r="E39" s="2" t="s">
        <v>55</v>
      </c>
      <c r="F39" s="2">
        <v>45266</v>
      </c>
      <c r="G39" s="1" t="s">
        <v>13</v>
      </c>
      <c r="H39" s="1">
        <v>80262</v>
      </c>
      <c r="I39" s="1">
        <v>79.819999999999993</v>
      </c>
      <c r="J39" s="1">
        <v>76.09</v>
      </c>
      <c r="K39" s="1">
        <v>299377.26</v>
      </c>
    </row>
    <row r="40" spans="1:11" x14ac:dyDescent="0.3">
      <c r="A40" s="2">
        <v>45253</v>
      </c>
      <c r="B40" s="1">
        <v>76.63</v>
      </c>
      <c r="C40" s="1">
        <v>78.349999999999994</v>
      </c>
      <c r="E40" s="2" t="s">
        <v>89</v>
      </c>
      <c r="F40" s="2">
        <v>45328</v>
      </c>
      <c r="G40" s="1" t="s">
        <v>13</v>
      </c>
      <c r="H40" s="1">
        <v>107641</v>
      </c>
      <c r="I40" s="1">
        <v>79.180000000000007</v>
      </c>
      <c r="J40" s="1">
        <v>77.3</v>
      </c>
      <c r="K40" s="1">
        <v>202365.08</v>
      </c>
    </row>
    <row r="41" spans="1:11" x14ac:dyDescent="0.3">
      <c r="A41" s="2">
        <v>45254</v>
      </c>
      <c r="B41" s="1">
        <v>76.75</v>
      </c>
      <c r="C41" s="1">
        <v>77.98</v>
      </c>
      <c r="E41" s="2" t="s">
        <v>61</v>
      </c>
      <c r="F41" s="2">
        <v>45272</v>
      </c>
      <c r="G41" s="1" t="s">
        <v>13</v>
      </c>
      <c r="H41" s="1">
        <v>48335</v>
      </c>
      <c r="I41" s="1">
        <v>79.34</v>
      </c>
      <c r="J41" s="1">
        <v>75.2</v>
      </c>
      <c r="K41" s="1">
        <v>200106.9</v>
      </c>
    </row>
    <row r="42" spans="1:11" x14ac:dyDescent="0.3">
      <c r="A42" s="2">
        <v>45257</v>
      </c>
      <c r="B42" s="1">
        <v>77.2</v>
      </c>
      <c r="C42" s="1">
        <v>77.760000000000005</v>
      </c>
      <c r="E42" s="2" t="s">
        <v>31</v>
      </c>
      <c r="F42" s="2">
        <v>45233</v>
      </c>
      <c r="G42" s="1" t="s">
        <v>13</v>
      </c>
      <c r="H42" s="1">
        <v>44748</v>
      </c>
      <c r="I42" s="1">
        <v>83.41</v>
      </c>
      <c r="J42" s="1">
        <v>79.55</v>
      </c>
      <c r="K42" s="1">
        <v>172727.28</v>
      </c>
    </row>
    <row r="43" spans="1:11" x14ac:dyDescent="0.3">
      <c r="A43" s="2">
        <v>45258</v>
      </c>
      <c r="B43" s="1">
        <v>77.3</v>
      </c>
      <c r="C43" s="1">
        <v>77.489999999999995</v>
      </c>
      <c r="E43" s="2" t="s">
        <v>130</v>
      </c>
      <c r="F43" s="2">
        <v>45379</v>
      </c>
      <c r="G43" s="1" t="s">
        <v>13</v>
      </c>
      <c r="H43" s="1">
        <v>61545</v>
      </c>
      <c r="I43" s="1">
        <v>79.59</v>
      </c>
      <c r="J43" s="1">
        <v>77.02</v>
      </c>
      <c r="K43" s="1">
        <v>158170.65</v>
      </c>
    </row>
    <row r="44" spans="1:11" x14ac:dyDescent="0.3">
      <c r="A44" s="2">
        <v>45259</v>
      </c>
      <c r="B44" s="1">
        <v>77.23</v>
      </c>
      <c r="C44" s="1">
        <v>77.31</v>
      </c>
      <c r="E44" s="2" t="s">
        <v>15</v>
      </c>
      <c r="F44" s="2">
        <v>45209</v>
      </c>
      <c r="G44" s="1" t="s">
        <v>11</v>
      </c>
      <c r="H44" s="1">
        <v>100566</v>
      </c>
      <c r="I44" s="1">
        <v>82.89</v>
      </c>
      <c r="J44" s="1">
        <v>84.18</v>
      </c>
      <c r="K44" s="1">
        <v>129730.14</v>
      </c>
    </row>
    <row r="45" spans="1:11" x14ac:dyDescent="0.3">
      <c r="A45" s="2">
        <v>45260</v>
      </c>
      <c r="B45" s="1">
        <v>77.05</v>
      </c>
      <c r="C45" s="1">
        <v>77.08</v>
      </c>
      <c r="E45" s="2" t="s">
        <v>121</v>
      </c>
      <c r="F45" s="2">
        <v>45372</v>
      </c>
      <c r="G45" s="1" t="s">
        <v>11</v>
      </c>
      <c r="H45" s="1">
        <v>157611</v>
      </c>
      <c r="I45" s="1">
        <v>75.44</v>
      </c>
      <c r="J45" s="1">
        <v>76.23</v>
      </c>
      <c r="K45" s="1">
        <v>124512.69</v>
      </c>
    </row>
    <row r="46" spans="1:11" x14ac:dyDescent="0.3">
      <c r="A46" s="2">
        <v>45261</v>
      </c>
      <c r="B46" s="1">
        <v>76.16</v>
      </c>
      <c r="C46" s="1">
        <v>76.900000000000006</v>
      </c>
      <c r="E46" s="2" t="s">
        <v>74</v>
      </c>
      <c r="F46" s="2">
        <v>45289</v>
      </c>
      <c r="G46" s="1" t="s">
        <v>13</v>
      </c>
      <c r="H46" s="1">
        <v>143333</v>
      </c>
      <c r="I46" s="1">
        <v>75.92</v>
      </c>
      <c r="J46" s="1">
        <v>75.14</v>
      </c>
      <c r="K46" s="1">
        <v>111799.74</v>
      </c>
    </row>
    <row r="47" spans="1:11" x14ac:dyDescent="0.3">
      <c r="A47" s="2">
        <v>45264</v>
      </c>
      <c r="B47" s="1">
        <v>75.73</v>
      </c>
      <c r="C47" s="1">
        <v>76.77</v>
      </c>
      <c r="E47" s="2" t="s">
        <v>88</v>
      </c>
      <c r="F47" s="2">
        <v>45324</v>
      </c>
      <c r="G47" s="1" t="s">
        <v>13</v>
      </c>
      <c r="H47" s="1">
        <v>106703</v>
      </c>
      <c r="I47" s="1">
        <v>77.14</v>
      </c>
      <c r="J47" s="1">
        <v>76.66</v>
      </c>
      <c r="K47" s="1">
        <v>51217.440000000002</v>
      </c>
    </row>
    <row r="48" spans="1:11" x14ac:dyDescent="0.3">
      <c r="A48" s="2">
        <v>45265</v>
      </c>
      <c r="B48" s="1">
        <v>75.45</v>
      </c>
      <c r="C48" s="1">
        <v>76.59</v>
      </c>
      <c r="E48" s="2" t="s">
        <v>125</v>
      </c>
      <c r="F48" s="2">
        <v>45378</v>
      </c>
      <c r="G48" s="1" t="s">
        <v>11</v>
      </c>
      <c r="H48" s="1">
        <v>122873</v>
      </c>
      <c r="I48" s="1">
        <v>76.650000000000006</v>
      </c>
      <c r="J48" s="1">
        <v>76.959999999999994</v>
      </c>
      <c r="K48" s="1">
        <v>38090.629999999997</v>
      </c>
    </row>
    <row r="49" spans="1:11" x14ac:dyDescent="0.3">
      <c r="A49" s="2">
        <v>45266</v>
      </c>
      <c r="B49" s="1">
        <v>76.09</v>
      </c>
      <c r="C49" s="1">
        <v>76.430000000000007</v>
      </c>
      <c r="E49" s="2" t="s">
        <v>41</v>
      </c>
      <c r="F49" s="2">
        <v>45247</v>
      </c>
      <c r="G49" s="1" t="s">
        <v>13</v>
      </c>
      <c r="H49" s="1">
        <v>41324</v>
      </c>
      <c r="I49" s="1">
        <v>80.03</v>
      </c>
      <c r="J49" s="1">
        <v>79.209999999999994</v>
      </c>
      <c r="K49" s="1">
        <v>33885.68</v>
      </c>
    </row>
    <row r="50" spans="1:11" x14ac:dyDescent="0.3">
      <c r="A50" s="2">
        <v>45267</v>
      </c>
      <c r="B50" s="1">
        <v>76.290000000000006</v>
      </c>
      <c r="C50" s="1">
        <v>76.290000000000006</v>
      </c>
      <c r="E50" s="2" t="s">
        <v>59</v>
      </c>
      <c r="F50" s="2">
        <v>45271</v>
      </c>
      <c r="G50" s="1" t="s">
        <v>11</v>
      </c>
      <c r="H50" s="1">
        <v>94693</v>
      </c>
      <c r="I50" s="1">
        <v>75.27</v>
      </c>
      <c r="J50" s="1">
        <v>75.430000000000007</v>
      </c>
      <c r="K50" s="1">
        <v>15150.88</v>
      </c>
    </row>
    <row r="51" spans="1:11" x14ac:dyDescent="0.3">
      <c r="A51" s="2">
        <v>45268</v>
      </c>
      <c r="B51" s="1">
        <v>75.239999999999995</v>
      </c>
      <c r="C51" s="1">
        <v>76</v>
      </c>
      <c r="E51" s="2" t="s">
        <v>87</v>
      </c>
      <c r="F51" s="2">
        <v>45324</v>
      </c>
      <c r="G51" s="1" t="s">
        <v>11</v>
      </c>
      <c r="H51" s="1">
        <v>100921</v>
      </c>
      <c r="I51" s="1">
        <v>76.510000000000005</v>
      </c>
      <c r="J51" s="1">
        <v>76.66</v>
      </c>
      <c r="K51" s="1">
        <v>15138.15</v>
      </c>
    </row>
    <row r="52" spans="1:11" x14ac:dyDescent="0.3">
      <c r="A52" s="2">
        <v>45271</v>
      </c>
      <c r="B52" s="1">
        <v>75.430000000000007</v>
      </c>
      <c r="C52" s="1">
        <v>75.77</v>
      </c>
      <c r="E52" s="2" t="s">
        <v>131</v>
      </c>
      <c r="F52" s="2">
        <v>45380</v>
      </c>
      <c r="G52" s="1" t="s">
        <v>13</v>
      </c>
      <c r="H52" s="1">
        <v>82918</v>
      </c>
      <c r="I52" s="1">
        <v>76.819999999999993</v>
      </c>
      <c r="J52" s="1">
        <v>76.72</v>
      </c>
      <c r="K52" s="1">
        <v>8291.7999999999993</v>
      </c>
    </row>
    <row r="53" spans="1:11" x14ac:dyDescent="0.3">
      <c r="A53" s="2">
        <v>45272</v>
      </c>
      <c r="B53" s="1">
        <v>75.2</v>
      </c>
      <c r="C53" s="1">
        <v>75.63</v>
      </c>
      <c r="E53" s="2" t="s">
        <v>53</v>
      </c>
      <c r="F53" s="2">
        <v>45266</v>
      </c>
      <c r="G53" s="1" t="s">
        <v>13</v>
      </c>
      <c r="H53" s="1">
        <v>49348</v>
      </c>
      <c r="I53" s="1">
        <v>75.650000000000006</v>
      </c>
      <c r="J53" s="1">
        <v>76.09</v>
      </c>
      <c r="K53" s="1">
        <v>-21713.119999999999</v>
      </c>
    </row>
    <row r="54" spans="1:11" x14ac:dyDescent="0.3">
      <c r="A54" s="2">
        <v>45273</v>
      </c>
      <c r="B54" s="1">
        <v>74.790000000000006</v>
      </c>
      <c r="C54" s="1">
        <v>75.5</v>
      </c>
      <c r="E54" s="2" t="s">
        <v>96</v>
      </c>
      <c r="F54" s="2">
        <v>45337</v>
      </c>
      <c r="G54" s="1" t="s">
        <v>11</v>
      </c>
      <c r="H54" s="1">
        <v>158324</v>
      </c>
      <c r="I54" s="1">
        <v>76.16</v>
      </c>
      <c r="J54" s="1">
        <v>75.91</v>
      </c>
      <c r="K54" s="1">
        <v>-39581</v>
      </c>
    </row>
    <row r="55" spans="1:11" x14ac:dyDescent="0.3">
      <c r="A55" s="2">
        <v>45274</v>
      </c>
      <c r="B55" s="1">
        <v>75.16</v>
      </c>
      <c r="C55" s="1">
        <v>75.459999999999994</v>
      </c>
      <c r="E55" s="2" t="s">
        <v>10</v>
      </c>
      <c r="F55" s="2">
        <v>45202</v>
      </c>
      <c r="G55" s="1" t="s">
        <v>11</v>
      </c>
      <c r="H55" s="1">
        <v>129780</v>
      </c>
      <c r="I55" s="1">
        <v>82.77</v>
      </c>
      <c r="J55" s="1">
        <v>82.22</v>
      </c>
      <c r="K55" s="1">
        <v>-71379</v>
      </c>
    </row>
    <row r="56" spans="1:11" x14ac:dyDescent="0.3">
      <c r="A56" s="2">
        <v>45275</v>
      </c>
      <c r="B56" s="1">
        <v>75.78</v>
      </c>
      <c r="C56" s="1">
        <v>75.41</v>
      </c>
      <c r="E56" s="2" t="s">
        <v>70</v>
      </c>
      <c r="F56" s="2">
        <v>45282</v>
      </c>
      <c r="G56" s="1" t="s">
        <v>11</v>
      </c>
      <c r="H56" s="1">
        <v>41062</v>
      </c>
      <c r="I56" s="1">
        <v>78.39</v>
      </c>
      <c r="J56" s="1">
        <v>76.430000000000007</v>
      </c>
      <c r="K56" s="1">
        <v>-80481.52</v>
      </c>
    </row>
    <row r="57" spans="1:11" x14ac:dyDescent="0.3">
      <c r="A57" s="2">
        <v>45278</v>
      </c>
      <c r="B57" s="1">
        <v>76.34</v>
      </c>
      <c r="C57" s="1">
        <v>75.42</v>
      </c>
      <c r="E57" s="2" t="s">
        <v>117</v>
      </c>
      <c r="F57" s="2">
        <v>45362</v>
      </c>
      <c r="G57" s="1" t="s">
        <v>11</v>
      </c>
      <c r="H57" s="1">
        <v>134246</v>
      </c>
      <c r="I57" s="1">
        <v>76.77</v>
      </c>
      <c r="J57" s="1">
        <v>75.89</v>
      </c>
      <c r="K57" s="1">
        <v>-118136.48</v>
      </c>
    </row>
    <row r="58" spans="1:11" x14ac:dyDescent="0.3">
      <c r="A58" s="2">
        <v>45279</v>
      </c>
      <c r="B58" s="1">
        <v>75.83</v>
      </c>
      <c r="C58" s="1">
        <v>75.5</v>
      </c>
      <c r="E58" s="2" t="s">
        <v>103</v>
      </c>
      <c r="F58" s="2">
        <v>45344</v>
      </c>
      <c r="G58" s="1" t="s">
        <v>11</v>
      </c>
      <c r="H58" s="1">
        <v>46801</v>
      </c>
      <c r="I58" s="1">
        <v>76.52</v>
      </c>
      <c r="J58" s="1">
        <v>73.98</v>
      </c>
      <c r="K58" s="1">
        <v>-118874.54</v>
      </c>
    </row>
    <row r="59" spans="1:11" x14ac:dyDescent="0.3">
      <c r="A59" s="2">
        <v>45280</v>
      </c>
      <c r="B59" s="1">
        <v>75.650000000000006</v>
      </c>
      <c r="C59" s="1">
        <v>75.540000000000006</v>
      </c>
      <c r="E59" s="2" t="s">
        <v>93</v>
      </c>
      <c r="F59" s="2">
        <v>45334</v>
      </c>
      <c r="G59" s="1" t="s">
        <v>11</v>
      </c>
      <c r="H59" s="1">
        <v>45486</v>
      </c>
      <c r="I59" s="1">
        <v>78.319999999999993</v>
      </c>
      <c r="J59" s="1">
        <v>75.569999999999993</v>
      </c>
      <c r="K59" s="1">
        <v>-125086.5</v>
      </c>
    </row>
    <row r="60" spans="1:11" x14ac:dyDescent="0.3">
      <c r="A60" s="2">
        <v>45281</v>
      </c>
      <c r="B60" s="1">
        <v>75.849999999999994</v>
      </c>
      <c r="C60" s="1">
        <v>75.63</v>
      </c>
      <c r="E60" s="2" t="s">
        <v>32</v>
      </c>
      <c r="F60" s="2">
        <v>45236</v>
      </c>
      <c r="G60" s="1" t="s">
        <v>11</v>
      </c>
      <c r="H60" s="1">
        <v>101629</v>
      </c>
      <c r="I60" s="1">
        <v>80.959999999999994</v>
      </c>
      <c r="J60" s="1">
        <v>79.61</v>
      </c>
      <c r="K60" s="1">
        <v>-137199.15</v>
      </c>
    </row>
    <row r="61" spans="1:11" x14ac:dyDescent="0.3">
      <c r="A61" s="2">
        <v>45282</v>
      </c>
      <c r="B61" s="1">
        <v>76.430000000000007</v>
      </c>
      <c r="C61" s="1">
        <v>75.86</v>
      </c>
      <c r="E61" s="2" t="s">
        <v>22</v>
      </c>
      <c r="F61" s="2">
        <v>45223</v>
      </c>
      <c r="G61" s="1" t="s">
        <v>13</v>
      </c>
      <c r="H61" s="1">
        <v>75909</v>
      </c>
      <c r="I61" s="1">
        <v>79.14</v>
      </c>
      <c r="J61" s="1">
        <v>81.150000000000006</v>
      </c>
      <c r="K61" s="1">
        <v>-152577.09</v>
      </c>
    </row>
    <row r="62" spans="1:11" x14ac:dyDescent="0.3">
      <c r="A62" s="2">
        <v>45285</v>
      </c>
      <c r="B62" s="1">
        <v>76.14</v>
      </c>
      <c r="C62" s="1">
        <v>76</v>
      </c>
      <c r="E62" s="2" t="s">
        <v>43</v>
      </c>
      <c r="F62" s="2">
        <v>45251</v>
      </c>
      <c r="G62" s="1" t="s">
        <v>11</v>
      </c>
      <c r="H62" s="1">
        <v>51174</v>
      </c>
      <c r="I62" s="1">
        <v>82.21</v>
      </c>
      <c r="J62" s="1">
        <v>78.61</v>
      </c>
      <c r="K62" s="1">
        <v>-184226.4</v>
      </c>
    </row>
    <row r="63" spans="1:11" x14ac:dyDescent="0.3">
      <c r="A63" s="2">
        <v>45286</v>
      </c>
      <c r="B63" s="1">
        <v>76.03</v>
      </c>
      <c r="C63" s="1">
        <v>76.040000000000006</v>
      </c>
      <c r="E63" s="2" t="s">
        <v>45</v>
      </c>
      <c r="F63" s="2">
        <v>45252</v>
      </c>
      <c r="G63" s="1" t="s">
        <v>13</v>
      </c>
      <c r="H63" s="1">
        <v>123460</v>
      </c>
      <c r="I63" s="1">
        <v>75.739999999999995</v>
      </c>
      <c r="J63" s="1">
        <v>77.430000000000007</v>
      </c>
      <c r="K63" s="1">
        <v>-208647.4</v>
      </c>
    </row>
    <row r="64" spans="1:11" x14ac:dyDescent="0.3">
      <c r="A64" s="2">
        <v>45287</v>
      </c>
      <c r="B64" s="1">
        <v>75.37</v>
      </c>
      <c r="C64" s="1">
        <v>75.900000000000006</v>
      </c>
      <c r="E64" s="2" t="s">
        <v>26</v>
      </c>
      <c r="F64" s="2">
        <v>45229</v>
      </c>
      <c r="G64" s="1" t="s">
        <v>11</v>
      </c>
      <c r="H64" s="1">
        <v>61677</v>
      </c>
      <c r="I64" s="1">
        <v>84.61</v>
      </c>
      <c r="J64" s="1">
        <v>80.819999999999993</v>
      </c>
      <c r="K64" s="1">
        <v>-233755.83</v>
      </c>
    </row>
    <row r="65" spans="1:11" x14ac:dyDescent="0.3">
      <c r="A65" s="2">
        <v>45288</v>
      </c>
      <c r="B65" s="1">
        <v>74.650000000000006</v>
      </c>
      <c r="C65" s="1">
        <v>75.73</v>
      </c>
      <c r="E65" s="2" t="s">
        <v>52</v>
      </c>
      <c r="F65" s="2">
        <v>45266</v>
      </c>
      <c r="G65" s="1" t="s">
        <v>11</v>
      </c>
      <c r="H65" s="1">
        <v>61689</v>
      </c>
      <c r="I65" s="1">
        <v>80.319999999999993</v>
      </c>
      <c r="J65" s="1">
        <v>76.09</v>
      </c>
      <c r="K65" s="1">
        <v>-260944.47</v>
      </c>
    </row>
    <row r="66" spans="1:11" x14ac:dyDescent="0.3">
      <c r="A66" s="2">
        <v>45289</v>
      </c>
      <c r="B66" s="1">
        <v>75.14</v>
      </c>
      <c r="C66" s="1">
        <v>75.66</v>
      </c>
      <c r="E66" s="2" t="s">
        <v>28</v>
      </c>
      <c r="F66" s="2">
        <v>45230</v>
      </c>
      <c r="G66" s="1" t="s">
        <v>13</v>
      </c>
      <c r="H66" s="1">
        <v>59065</v>
      </c>
      <c r="I66" s="1">
        <v>76.27</v>
      </c>
      <c r="J66" s="1">
        <v>80.69</v>
      </c>
      <c r="K66" s="1">
        <v>-261067.3</v>
      </c>
    </row>
    <row r="67" spans="1:11" x14ac:dyDescent="0.3">
      <c r="A67" s="2">
        <v>45292</v>
      </c>
      <c r="B67" s="1">
        <v>75.95</v>
      </c>
      <c r="C67" s="1">
        <v>75.67</v>
      </c>
      <c r="E67" s="2" t="s">
        <v>106</v>
      </c>
      <c r="F67" s="2">
        <v>45351</v>
      </c>
      <c r="G67" s="1" t="s">
        <v>11</v>
      </c>
      <c r="H67" s="1">
        <v>128092</v>
      </c>
      <c r="I67" s="1">
        <v>77.680000000000007</v>
      </c>
      <c r="J67" s="1">
        <v>75.52</v>
      </c>
      <c r="K67" s="1">
        <v>-276678.71999999997</v>
      </c>
    </row>
    <row r="68" spans="1:11" x14ac:dyDescent="0.3">
      <c r="A68" s="2">
        <v>45293</v>
      </c>
      <c r="B68" s="1">
        <v>75.91</v>
      </c>
      <c r="C68" s="1">
        <v>75.599999999999994</v>
      </c>
      <c r="E68" s="2" t="s">
        <v>12</v>
      </c>
      <c r="F68" s="2">
        <v>45204</v>
      </c>
      <c r="G68" s="1" t="s">
        <v>13</v>
      </c>
      <c r="H68" s="1">
        <v>77080</v>
      </c>
      <c r="I68" s="1">
        <v>79.099999999999994</v>
      </c>
      <c r="J68" s="1">
        <v>83.52</v>
      </c>
      <c r="K68" s="1">
        <v>-340693.6</v>
      </c>
    </row>
    <row r="69" spans="1:11" x14ac:dyDescent="0.3">
      <c r="A69" s="2">
        <v>45294</v>
      </c>
      <c r="B69" s="1">
        <v>76.510000000000005</v>
      </c>
      <c r="C69" s="1">
        <v>75.650000000000006</v>
      </c>
      <c r="E69" s="2" t="s">
        <v>62</v>
      </c>
      <c r="F69" s="2">
        <v>45274</v>
      </c>
      <c r="G69" s="1" t="s">
        <v>11</v>
      </c>
      <c r="H69" s="1">
        <v>63714</v>
      </c>
      <c r="I69" s="1">
        <v>80.599999999999994</v>
      </c>
      <c r="J69" s="1">
        <v>75.16</v>
      </c>
      <c r="K69" s="1">
        <v>-346604.16</v>
      </c>
    </row>
    <row r="70" spans="1:11" x14ac:dyDescent="0.3">
      <c r="A70" s="2">
        <v>45295</v>
      </c>
      <c r="B70" s="1">
        <v>76.73</v>
      </c>
      <c r="C70" s="1">
        <v>75.75</v>
      </c>
      <c r="E70" s="2" t="s">
        <v>68</v>
      </c>
      <c r="F70" s="2">
        <v>45280</v>
      </c>
      <c r="G70" s="1" t="s">
        <v>11</v>
      </c>
      <c r="H70" s="1">
        <v>133396</v>
      </c>
      <c r="I70" s="1">
        <v>78.599999999999994</v>
      </c>
      <c r="J70" s="1">
        <v>75.650000000000006</v>
      </c>
      <c r="K70" s="1">
        <v>-393518.2</v>
      </c>
    </row>
    <row r="71" spans="1:11" x14ac:dyDescent="0.3">
      <c r="A71" s="2">
        <v>45296</v>
      </c>
      <c r="B71" s="1">
        <v>76.34</v>
      </c>
      <c r="C71" s="1">
        <v>75.89</v>
      </c>
      <c r="E71" s="2" t="s">
        <v>38</v>
      </c>
      <c r="F71" s="2">
        <v>45244</v>
      </c>
      <c r="G71" s="1" t="s">
        <v>11</v>
      </c>
      <c r="H71" s="1">
        <v>62700</v>
      </c>
      <c r="I71" s="1">
        <v>85.75</v>
      </c>
      <c r="J71" s="1">
        <v>79.36</v>
      </c>
      <c r="K71" s="1">
        <v>-400653</v>
      </c>
    </row>
    <row r="72" spans="1:11" x14ac:dyDescent="0.3">
      <c r="A72" s="2">
        <v>45299</v>
      </c>
      <c r="B72" s="1">
        <v>76.56</v>
      </c>
      <c r="C72" s="1">
        <v>76.16</v>
      </c>
      <c r="E72" s="2" t="s">
        <v>24</v>
      </c>
      <c r="F72" s="2">
        <v>45224</v>
      </c>
      <c r="G72" s="1" t="s">
        <v>11</v>
      </c>
      <c r="H72" s="1">
        <v>126188</v>
      </c>
      <c r="I72" s="1">
        <v>84.6</v>
      </c>
      <c r="J72" s="1">
        <v>81.34</v>
      </c>
      <c r="K72" s="1">
        <v>-411372.88</v>
      </c>
    </row>
    <row r="73" spans="1:11" x14ac:dyDescent="0.3">
      <c r="A73" s="2">
        <v>45300</v>
      </c>
      <c r="B73" s="1">
        <v>77.48</v>
      </c>
      <c r="C73" s="1">
        <v>76.5</v>
      </c>
      <c r="E73" s="2" t="s">
        <v>37</v>
      </c>
      <c r="F73" s="2">
        <v>45244</v>
      </c>
      <c r="G73" s="1" t="s">
        <v>11</v>
      </c>
      <c r="H73" s="1">
        <v>53116</v>
      </c>
      <c r="I73" s="1">
        <v>87.16</v>
      </c>
      <c r="J73" s="1">
        <v>79.36</v>
      </c>
      <c r="K73" s="1">
        <v>-414304.8</v>
      </c>
    </row>
    <row r="74" spans="1:11" x14ac:dyDescent="0.3">
      <c r="A74" s="2">
        <v>45301</v>
      </c>
      <c r="B74" s="1">
        <v>77.459999999999994</v>
      </c>
      <c r="C74" s="1">
        <v>76.709999999999994</v>
      </c>
      <c r="E74" s="2" t="s">
        <v>17</v>
      </c>
      <c r="F74" s="2">
        <v>45210</v>
      </c>
      <c r="G74" s="1" t="s">
        <v>11</v>
      </c>
      <c r="H74" s="1">
        <v>151732</v>
      </c>
      <c r="I74" s="1">
        <v>87.42</v>
      </c>
      <c r="J74" s="1">
        <v>84.64</v>
      </c>
      <c r="K74" s="1">
        <v>-421814.96</v>
      </c>
    </row>
    <row r="75" spans="1:11" x14ac:dyDescent="0.3">
      <c r="A75" s="2">
        <v>45302</v>
      </c>
      <c r="B75" s="1">
        <v>78.400000000000006</v>
      </c>
      <c r="C75" s="1">
        <v>77.069999999999993</v>
      </c>
      <c r="E75" s="2" t="s">
        <v>112</v>
      </c>
      <c r="F75" s="2">
        <v>45357</v>
      </c>
      <c r="G75" s="1" t="s">
        <v>11</v>
      </c>
      <c r="H75" s="1">
        <v>129930</v>
      </c>
      <c r="I75" s="1">
        <v>77.66</v>
      </c>
      <c r="J75" s="1">
        <v>74.34</v>
      </c>
      <c r="K75" s="1">
        <v>-431367.6</v>
      </c>
    </row>
    <row r="76" spans="1:11" x14ac:dyDescent="0.3">
      <c r="A76" s="2">
        <v>45303</v>
      </c>
      <c r="B76" s="1">
        <v>76.83</v>
      </c>
      <c r="C76" s="1">
        <v>77.11</v>
      </c>
      <c r="E76" s="2" t="s">
        <v>25</v>
      </c>
      <c r="F76" s="2">
        <v>45226</v>
      </c>
      <c r="G76" s="1" t="s">
        <v>13</v>
      </c>
      <c r="H76" s="1">
        <v>122848</v>
      </c>
      <c r="I76" s="1">
        <v>76.319999999999993</v>
      </c>
      <c r="J76" s="1">
        <v>79.94</v>
      </c>
      <c r="K76" s="1">
        <v>-444709.76</v>
      </c>
    </row>
    <row r="77" spans="1:11" x14ac:dyDescent="0.3">
      <c r="A77" s="2">
        <v>45306</v>
      </c>
      <c r="B77" s="1">
        <v>77.319999999999993</v>
      </c>
      <c r="C77" s="1">
        <v>77.2</v>
      </c>
      <c r="E77" s="2" t="s">
        <v>73</v>
      </c>
      <c r="F77" s="2">
        <v>45287</v>
      </c>
      <c r="G77" s="1" t="s">
        <v>11</v>
      </c>
      <c r="H77" s="1">
        <v>60559</v>
      </c>
      <c r="I77" s="1">
        <v>83.01</v>
      </c>
      <c r="J77" s="1">
        <v>75.37</v>
      </c>
      <c r="K77" s="1">
        <v>-462670.76</v>
      </c>
    </row>
    <row r="78" spans="1:11" x14ac:dyDescent="0.3">
      <c r="A78" s="2">
        <v>45307</v>
      </c>
      <c r="B78" s="1">
        <v>77.37</v>
      </c>
      <c r="C78" s="1">
        <v>77.349999999999994</v>
      </c>
      <c r="E78" s="2" t="s">
        <v>39</v>
      </c>
      <c r="F78" s="2">
        <v>45245</v>
      </c>
      <c r="G78" s="1" t="s">
        <v>11</v>
      </c>
      <c r="H78" s="1">
        <v>41542</v>
      </c>
      <c r="I78" s="1">
        <v>90.55</v>
      </c>
      <c r="J78" s="1">
        <v>79.36</v>
      </c>
      <c r="K78" s="1">
        <v>-464854.98</v>
      </c>
    </row>
    <row r="79" spans="1:11" x14ac:dyDescent="0.3">
      <c r="A79" s="2">
        <v>45308</v>
      </c>
      <c r="B79" s="1">
        <v>77.19</v>
      </c>
      <c r="C79" s="1">
        <v>77.44</v>
      </c>
      <c r="E79" s="2" t="s">
        <v>124</v>
      </c>
      <c r="F79" s="2">
        <v>45378</v>
      </c>
      <c r="G79" s="1" t="s">
        <v>11</v>
      </c>
      <c r="H79" s="1">
        <v>126900</v>
      </c>
      <c r="I79" s="1">
        <v>80.89</v>
      </c>
      <c r="J79" s="1">
        <v>76.959999999999994</v>
      </c>
      <c r="K79" s="1">
        <v>-498717</v>
      </c>
    </row>
    <row r="80" spans="1:11" x14ac:dyDescent="0.3">
      <c r="A80" s="2">
        <v>45309</v>
      </c>
      <c r="B80" s="1">
        <v>77.25</v>
      </c>
      <c r="C80" s="1">
        <v>77.400000000000006</v>
      </c>
      <c r="E80" s="2" t="s">
        <v>126</v>
      </c>
      <c r="F80" s="2">
        <v>45378</v>
      </c>
      <c r="G80" s="1" t="s">
        <v>11</v>
      </c>
      <c r="H80" s="1">
        <v>90343</v>
      </c>
      <c r="I80" s="1">
        <v>82.53</v>
      </c>
      <c r="J80" s="1">
        <v>76.959999999999994</v>
      </c>
      <c r="K80" s="1">
        <v>-503210.51</v>
      </c>
    </row>
    <row r="81" spans="1:11" x14ac:dyDescent="0.3">
      <c r="A81" s="2">
        <v>45310</v>
      </c>
      <c r="B81" s="1">
        <v>76.06</v>
      </c>
      <c r="C81" s="1">
        <v>77.2</v>
      </c>
      <c r="E81" s="2" t="s">
        <v>80</v>
      </c>
      <c r="F81" s="2">
        <v>45303</v>
      </c>
      <c r="G81" s="1" t="s">
        <v>11</v>
      </c>
      <c r="H81" s="1">
        <v>142634</v>
      </c>
      <c r="I81" s="1">
        <v>80.42</v>
      </c>
      <c r="J81" s="1">
        <v>76.83</v>
      </c>
      <c r="K81" s="1">
        <v>-512056.06</v>
      </c>
    </row>
    <row r="82" spans="1:11" x14ac:dyDescent="0.3">
      <c r="A82" s="2">
        <v>45313</v>
      </c>
      <c r="B82" s="1">
        <v>75.92</v>
      </c>
      <c r="C82" s="1">
        <v>76.849999999999994</v>
      </c>
      <c r="E82" s="2" t="s">
        <v>71</v>
      </c>
      <c r="F82" s="2">
        <v>45282</v>
      </c>
      <c r="G82" s="1" t="s">
        <v>11</v>
      </c>
      <c r="H82" s="1">
        <v>68016</v>
      </c>
      <c r="I82" s="1">
        <v>84.19</v>
      </c>
      <c r="J82" s="1">
        <v>76.430000000000007</v>
      </c>
      <c r="K82" s="1">
        <v>-527804.16000000003</v>
      </c>
    </row>
    <row r="83" spans="1:11" x14ac:dyDescent="0.3">
      <c r="A83" s="2">
        <v>45314</v>
      </c>
      <c r="B83" s="1">
        <v>76.14</v>
      </c>
      <c r="C83" s="1">
        <v>76.75</v>
      </c>
      <c r="E83" s="2" t="s">
        <v>16</v>
      </c>
      <c r="F83" s="2">
        <v>45210</v>
      </c>
      <c r="G83" s="1" t="s">
        <v>13</v>
      </c>
      <c r="H83" s="1">
        <v>66962</v>
      </c>
      <c r="I83" s="1">
        <v>76.510000000000005</v>
      </c>
      <c r="J83" s="1">
        <v>84.64</v>
      </c>
      <c r="K83" s="1">
        <v>-544401.06000000006</v>
      </c>
    </row>
    <row r="84" spans="1:11" x14ac:dyDescent="0.3">
      <c r="A84" s="2">
        <v>45315</v>
      </c>
      <c r="B84" s="1">
        <v>77.02</v>
      </c>
      <c r="C84" s="1">
        <v>76.709999999999994</v>
      </c>
      <c r="E84" s="2" t="s">
        <v>14</v>
      </c>
      <c r="F84" s="2">
        <v>45208</v>
      </c>
      <c r="G84" s="1" t="s">
        <v>13</v>
      </c>
      <c r="H84" s="1">
        <v>74578</v>
      </c>
      <c r="I84" s="1">
        <v>75.94</v>
      </c>
      <c r="J84" s="1">
        <v>83.24</v>
      </c>
      <c r="K84" s="1">
        <v>-544419.4</v>
      </c>
    </row>
    <row r="85" spans="1:11" x14ac:dyDescent="0.3">
      <c r="A85" s="2">
        <v>45316</v>
      </c>
      <c r="B85" s="1">
        <v>76.709999999999994</v>
      </c>
      <c r="C85" s="1">
        <v>76.61</v>
      </c>
      <c r="E85" s="2" t="s">
        <v>78</v>
      </c>
      <c r="F85" s="2">
        <v>45294</v>
      </c>
      <c r="G85" s="1" t="s">
        <v>11</v>
      </c>
      <c r="H85" s="1">
        <v>84261</v>
      </c>
      <c r="I85" s="1">
        <v>83.23</v>
      </c>
      <c r="J85" s="1">
        <v>76.510000000000005</v>
      </c>
      <c r="K85" s="1">
        <v>-566233.92000000004</v>
      </c>
    </row>
    <row r="86" spans="1:11" x14ac:dyDescent="0.3">
      <c r="A86" s="2">
        <v>45317</v>
      </c>
      <c r="B86" s="1">
        <v>76.23</v>
      </c>
      <c r="C86" s="1">
        <v>76.48</v>
      </c>
      <c r="E86" s="2" t="s">
        <v>85</v>
      </c>
      <c r="F86" s="2">
        <v>45320</v>
      </c>
      <c r="G86" s="1" t="s">
        <v>11</v>
      </c>
      <c r="H86" s="1">
        <v>74620</v>
      </c>
      <c r="I86" s="1">
        <v>84.2</v>
      </c>
      <c r="J86" s="1">
        <v>75.930000000000007</v>
      </c>
      <c r="K86" s="1">
        <v>-617107.4</v>
      </c>
    </row>
    <row r="87" spans="1:11" x14ac:dyDescent="0.3">
      <c r="A87" s="2">
        <v>45320</v>
      </c>
      <c r="B87" s="1">
        <v>75.930000000000007</v>
      </c>
      <c r="C87" s="1">
        <v>76.290000000000006</v>
      </c>
      <c r="E87" s="2" t="s">
        <v>72</v>
      </c>
      <c r="F87" s="2">
        <v>45285</v>
      </c>
      <c r="G87" s="1" t="s">
        <v>11</v>
      </c>
      <c r="H87" s="1">
        <v>97854</v>
      </c>
      <c r="I87" s="1">
        <v>82.56</v>
      </c>
      <c r="J87" s="1">
        <v>76.14</v>
      </c>
      <c r="K87" s="1">
        <v>-628222.68000000005</v>
      </c>
    </row>
    <row r="88" spans="1:11" x14ac:dyDescent="0.3">
      <c r="A88" s="2">
        <v>45321</v>
      </c>
      <c r="B88" s="1">
        <v>76.48</v>
      </c>
      <c r="C88" s="1">
        <v>76.349999999999994</v>
      </c>
      <c r="E88" s="2" t="s">
        <v>65</v>
      </c>
      <c r="F88" s="2">
        <v>45274</v>
      </c>
      <c r="G88" s="1" t="s">
        <v>11</v>
      </c>
      <c r="H88" s="1">
        <v>53843</v>
      </c>
      <c r="I88" s="1">
        <v>87.04</v>
      </c>
      <c r="J88" s="1">
        <v>75.16</v>
      </c>
      <c r="K88" s="1">
        <v>-639654.84</v>
      </c>
    </row>
    <row r="89" spans="1:11" x14ac:dyDescent="0.3">
      <c r="A89" s="2">
        <v>45322</v>
      </c>
      <c r="B89" s="1">
        <v>76.67</v>
      </c>
      <c r="C89" s="1">
        <v>76.45</v>
      </c>
      <c r="E89" s="2" t="s">
        <v>129</v>
      </c>
      <c r="F89" s="2">
        <v>45379</v>
      </c>
      <c r="G89" s="1" t="s">
        <v>11</v>
      </c>
      <c r="H89" s="1">
        <v>51130</v>
      </c>
      <c r="I89" s="1">
        <v>89.74</v>
      </c>
      <c r="J89" s="1">
        <v>77.02</v>
      </c>
      <c r="K89" s="1">
        <v>-650373.6</v>
      </c>
    </row>
    <row r="90" spans="1:11" x14ac:dyDescent="0.3">
      <c r="A90" s="2">
        <v>45323</v>
      </c>
      <c r="B90" s="1">
        <v>76.36</v>
      </c>
      <c r="C90" s="1">
        <v>76.489999999999995</v>
      </c>
      <c r="E90" s="2" t="s">
        <v>77</v>
      </c>
      <c r="F90" s="2">
        <v>45293</v>
      </c>
      <c r="G90" s="1" t="s">
        <v>11</v>
      </c>
      <c r="H90" s="1">
        <v>43709</v>
      </c>
      <c r="I90" s="1">
        <v>91.1</v>
      </c>
      <c r="J90" s="1">
        <v>75.91</v>
      </c>
      <c r="K90" s="1">
        <v>-663939.71</v>
      </c>
    </row>
    <row r="91" spans="1:11" x14ac:dyDescent="0.3">
      <c r="A91" s="2">
        <v>45324</v>
      </c>
      <c r="B91" s="1">
        <v>76.66</v>
      </c>
      <c r="C91" s="1">
        <v>76.430000000000007</v>
      </c>
      <c r="E91" s="2" t="s">
        <v>33</v>
      </c>
      <c r="F91" s="2">
        <v>45237</v>
      </c>
      <c r="G91" s="1" t="s">
        <v>11</v>
      </c>
      <c r="H91" s="1">
        <v>68295</v>
      </c>
      <c r="I91" s="1">
        <v>88.83</v>
      </c>
      <c r="J91" s="1">
        <v>78.92</v>
      </c>
      <c r="K91" s="1">
        <v>-676803.45</v>
      </c>
    </row>
    <row r="92" spans="1:11" x14ac:dyDescent="0.3">
      <c r="A92" s="2">
        <v>45327</v>
      </c>
      <c r="B92" s="1">
        <v>76.72</v>
      </c>
      <c r="C92" s="1">
        <v>76.44</v>
      </c>
      <c r="E92" s="2" t="s">
        <v>30</v>
      </c>
      <c r="F92" s="2">
        <v>45232</v>
      </c>
      <c r="G92" s="1" t="s">
        <v>11</v>
      </c>
      <c r="H92" s="1">
        <v>95771</v>
      </c>
      <c r="I92" s="1">
        <v>87.35</v>
      </c>
      <c r="J92" s="1">
        <v>79.87</v>
      </c>
      <c r="K92" s="1">
        <v>-716367.08</v>
      </c>
    </row>
    <row r="93" spans="1:11" x14ac:dyDescent="0.3">
      <c r="A93" s="2">
        <v>45328</v>
      </c>
      <c r="B93" s="1">
        <v>77.3</v>
      </c>
      <c r="C93" s="1">
        <v>76.59</v>
      </c>
      <c r="E93" s="2" t="s">
        <v>123</v>
      </c>
      <c r="F93" s="2">
        <v>45377</v>
      </c>
      <c r="G93" s="1" t="s">
        <v>11</v>
      </c>
      <c r="H93" s="1">
        <v>82344</v>
      </c>
      <c r="I93" s="1">
        <v>86.1</v>
      </c>
      <c r="J93" s="1">
        <v>77.3</v>
      </c>
      <c r="K93" s="1">
        <v>-724627.2</v>
      </c>
    </row>
    <row r="94" spans="1:11" x14ac:dyDescent="0.3">
      <c r="A94" s="2">
        <v>45329</v>
      </c>
      <c r="B94" s="1">
        <v>76.88</v>
      </c>
      <c r="C94" s="1">
        <v>76.72</v>
      </c>
      <c r="E94" s="2" t="s">
        <v>23</v>
      </c>
      <c r="F94" s="2">
        <v>45223</v>
      </c>
      <c r="G94" s="1" t="s">
        <v>11</v>
      </c>
      <c r="H94" s="1">
        <v>92224</v>
      </c>
      <c r="I94" s="1">
        <v>89.53</v>
      </c>
      <c r="J94" s="1">
        <v>81.150000000000006</v>
      </c>
      <c r="K94" s="1">
        <v>-772837.12</v>
      </c>
    </row>
    <row r="95" spans="1:11" x14ac:dyDescent="0.3">
      <c r="A95" s="2">
        <v>45330</v>
      </c>
      <c r="B95" s="1">
        <v>76.69</v>
      </c>
      <c r="C95" s="1">
        <v>76.75</v>
      </c>
      <c r="E95" s="2" t="s">
        <v>95</v>
      </c>
      <c r="F95" s="2">
        <v>45336</v>
      </c>
      <c r="G95" s="1" t="s">
        <v>11</v>
      </c>
      <c r="H95" s="1">
        <v>76395</v>
      </c>
      <c r="I95" s="1">
        <v>86.59</v>
      </c>
      <c r="J95" s="1">
        <v>75.91</v>
      </c>
      <c r="K95" s="1">
        <v>-815898.6</v>
      </c>
    </row>
    <row r="96" spans="1:11" x14ac:dyDescent="0.3">
      <c r="A96" s="2">
        <v>45331</v>
      </c>
      <c r="B96" s="1">
        <v>76.45</v>
      </c>
      <c r="C96" s="1">
        <v>76.72</v>
      </c>
      <c r="E96" s="2" t="s">
        <v>76</v>
      </c>
      <c r="F96" s="2">
        <v>45293</v>
      </c>
      <c r="G96" s="1" t="s">
        <v>11</v>
      </c>
      <c r="H96" s="1">
        <v>55485</v>
      </c>
      <c r="I96" s="1">
        <v>90.84</v>
      </c>
      <c r="J96" s="1">
        <v>75.91</v>
      </c>
      <c r="K96" s="1">
        <v>-828391.05</v>
      </c>
    </row>
    <row r="97" spans="1:11" x14ac:dyDescent="0.3">
      <c r="A97" s="2">
        <v>45334</v>
      </c>
      <c r="B97" s="1">
        <v>75.569999999999993</v>
      </c>
      <c r="C97" s="1">
        <v>76.61</v>
      </c>
      <c r="E97" s="2" t="s">
        <v>128</v>
      </c>
      <c r="F97" s="2">
        <v>45378</v>
      </c>
      <c r="G97" s="1" t="s">
        <v>11</v>
      </c>
      <c r="H97" s="1">
        <v>84482</v>
      </c>
      <c r="I97" s="1">
        <v>86.8</v>
      </c>
      <c r="J97" s="1">
        <v>76.959999999999994</v>
      </c>
      <c r="K97" s="1">
        <v>-831302.88</v>
      </c>
    </row>
    <row r="98" spans="1:11" x14ac:dyDescent="0.3">
      <c r="A98" s="2">
        <v>45335</v>
      </c>
      <c r="B98" s="1">
        <v>75.75</v>
      </c>
      <c r="C98" s="1">
        <v>76.48</v>
      </c>
      <c r="E98" s="2" t="s">
        <v>75</v>
      </c>
      <c r="F98" s="2">
        <v>45292</v>
      </c>
      <c r="G98" s="1" t="s">
        <v>11</v>
      </c>
      <c r="H98" s="1">
        <v>151276</v>
      </c>
      <c r="I98" s="1">
        <v>81.83</v>
      </c>
      <c r="J98" s="1">
        <v>75.95</v>
      </c>
      <c r="K98" s="1">
        <v>-889502.88</v>
      </c>
    </row>
    <row r="99" spans="1:11" x14ac:dyDescent="0.3">
      <c r="A99" s="2">
        <v>45336</v>
      </c>
      <c r="B99" s="1">
        <v>75.91</v>
      </c>
      <c r="C99" s="1">
        <v>76.36</v>
      </c>
      <c r="E99" s="2" t="s">
        <v>98</v>
      </c>
      <c r="F99" s="2">
        <v>45337</v>
      </c>
      <c r="G99" s="1" t="s">
        <v>11</v>
      </c>
      <c r="H99" s="1">
        <v>88136</v>
      </c>
      <c r="I99" s="1">
        <v>86.62</v>
      </c>
      <c r="J99" s="1">
        <v>75.91</v>
      </c>
      <c r="K99" s="1">
        <v>-943936.56</v>
      </c>
    </row>
    <row r="100" spans="1:11" x14ac:dyDescent="0.3">
      <c r="A100" s="2">
        <v>45337</v>
      </c>
      <c r="B100" s="1">
        <v>75.91</v>
      </c>
      <c r="C100" s="1">
        <v>76.17</v>
      </c>
      <c r="E100" s="2" t="s">
        <v>105</v>
      </c>
      <c r="F100" s="2">
        <v>45344</v>
      </c>
      <c r="G100" s="1" t="s">
        <v>11</v>
      </c>
      <c r="H100" s="1">
        <v>79298</v>
      </c>
      <c r="I100" s="1">
        <v>85.95</v>
      </c>
      <c r="J100" s="1">
        <v>73.98</v>
      </c>
      <c r="K100" s="1">
        <v>-949197.06</v>
      </c>
    </row>
    <row r="101" spans="1:11" x14ac:dyDescent="0.3">
      <c r="A101" s="2">
        <v>45338</v>
      </c>
      <c r="B101" s="1">
        <v>75.77</v>
      </c>
      <c r="C101" s="1">
        <v>76.010000000000005</v>
      </c>
      <c r="E101" s="2" t="s">
        <v>36</v>
      </c>
      <c r="F101" s="2">
        <v>45240</v>
      </c>
      <c r="G101" s="1" t="s">
        <v>11</v>
      </c>
      <c r="H101" s="1">
        <v>66432</v>
      </c>
      <c r="I101" s="1">
        <v>93.26</v>
      </c>
      <c r="J101" s="1">
        <v>78.61</v>
      </c>
      <c r="K101" s="1">
        <v>-973228.8</v>
      </c>
    </row>
    <row r="102" spans="1:11" x14ac:dyDescent="0.3">
      <c r="A102" s="2">
        <v>45341</v>
      </c>
      <c r="B102" s="1">
        <v>74.92</v>
      </c>
      <c r="C102" s="1">
        <v>75.75</v>
      </c>
      <c r="E102" s="2" t="s">
        <v>57</v>
      </c>
      <c r="F102" s="2">
        <v>45267</v>
      </c>
      <c r="G102" s="1" t="s">
        <v>11</v>
      </c>
      <c r="H102" s="1">
        <v>61732</v>
      </c>
      <c r="I102" s="1">
        <v>92.49</v>
      </c>
      <c r="J102" s="1">
        <v>76.290000000000006</v>
      </c>
      <c r="K102" s="1">
        <v>-1000058.4</v>
      </c>
    </row>
    <row r="103" spans="1:11" x14ac:dyDescent="0.3">
      <c r="A103" s="2">
        <v>45342</v>
      </c>
      <c r="B103" s="1">
        <v>74.67</v>
      </c>
      <c r="C103" s="1">
        <v>75.5</v>
      </c>
      <c r="E103" s="2" t="s">
        <v>66</v>
      </c>
      <c r="F103" s="2">
        <v>45279</v>
      </c>
      <c r="G103" s="1" t="s">
        <v>11</v>
      </c>
      <c r="H103" s="1">
        <v>63960</v>
      </c>
      <c r="I103" s="1">
        <v>91.84</v>
      </c>
      <c r="J103" s="1">
        <v>75.83</v>
      </c>
      <c r="K103" s="1">
        <v>-1023999.6</v>
      </c>
    </row>
    <row r="104" spans="1:11" x14ac:dyDescent="0.3">
      <c r="A104" s="2">
        <v>45343</v>
      </c>
      <c r="B104" s="1">
        <v>74.459999999999994</v>
      </c>
      <c r="C104" s="1">
        <v>75.34</v>
      </c>
      <c r="E104" s="2" t="s">
        <v>127</v>
      </c>
      <c r="F104" s="2">
        <v>45378</v>
      </c>
      <c r="G104" s="1" t="s">
        <v>11</v>
      </c>
      <c r="H104" s="1">
        <v>79081</v>
      </c>
      <c r="I104" s="1">
        <v>89.99</v>
      </c>
      <c r="J104" s="1">
        <v>76.959999999999994</v>
      </c>
      <c r="K104" s="1">
        <v>-1030425.43</v>
      </c>
    </row>
    <row r="105" spans="1:11" x14ac:dyDescent="0.3">
      <c r="A105" s="2">
        <v>45344</v>
      </c>
      <c r="B105" s="1">
        <v>73.98</v>
      </c>
      <c r="C105" s="1">
        <v>75.09</v>
      </c>
      <c r="E105" s="2" t="s">
        <v>82</v>
      </c>
      <c r="F105" s="2">
        <v>45314</v>
      </c>
      <c r="G105" s="1" t="s">
        <v>11</v>
      </c>
      <c r="H105" s="1">
        <v>112592</v>
      </c>
      <c r="I105" s="1">
        <v>86.03</v>
      </c>
      <c r="J105" s="1">
        <v>76.14</v>
      </c>
      <c r="K105" s="1">
        <v>-1113534.8799999999</v>
      </c>
    </row>
    <row r="106" spans="1:11" x14ac:dyDescent="0.3">
      <c r="A106" s="2">
        <v>45345</v>
      </c>
      <c r="B106" s="1">
        <v>73.88</v>
      </c>
      <c r="C106" s="1">
        <v>74.8</v>
      </c>
      <c r="E106" s="2" t="s">
        <v>19</v>
      </c>
      <c r="F106" s="2">
        <v>45215</v>
      </c>
      <c r="G106" s="1" t="s">
        <v>11</v>
      </c>
      <c r="H106" s="1">
        <v>127508</v>
      </c>
      <c r="I106" s="1">
        <v>93.31</v>
      </c>
      <c r="J106" s="1">
        <v>84.41</v>
      </c>
      <c r="K106" s="1">
        <v>-1134821.2</v>
      </c>
    </row>
    <row r="107" spans="1:11" x14ac:dyDescent="0.3">
      <c r="A107" s="2">
        <v>45348</v>
      </c>
      <c r="B107" s="1">
        <v>74.13</v>
      </c>
      <c r="C107" s="1">
        <v>74.540000000000006</v>
      </c>
      <c r="E107" s="2" t="s">
        <v>97</v>
      </c>
      <c r="F107" s="2">
        <v>45337</v>
      </c>
      <c r="G107" s="1" t="s">
        <v>11</v>
      </c>
      <c r="H107" s="1">
        <v>143033</v>
      </c>
      <c r="I107" s="1">
        <v>84.06</v>
      </c>
      <c r="J107" s="1">
        <v>75.91</v>
      </c>
      <c r="K107" s="1">
        <v>-1165718.95</v>
      </c>
    </row>
    <row r="108" spans="1:11" x14ac:dyDescent="0.3">
      <c r="A108" s="2">
        <v>45349</v>
      </c>
      <c r="B108" s="1">
        <v>75.260000000000005</v>
      </c>
      <c r="C108" s="1">
        <v>74.47</v>
      </c>
      <c r="E108" s="2" t="s">
        <v>116</v>
      </c>
      <c r="F108" s="2">
        <v>45362</v>
      </c>
      <c r="G108" s="1" t="s">
        <v>11</v>
      </c>
      <c r="H108" s="1">
        <v>114460</v>
      </c>
      <c r="I108" s="1">
        <v>87.06</v>
      </c>
      <c r="J108" s="1">
        <v>75.89</v>
      </c>
      <c r="K108" s="1">
        <v>-1278518.2</v>
      </c>
    </row>
    <row r="109" spans="1:11" x14ac:dyDescent="0.3">
      <c r="A109" s="2">
        <v>45350</v>
      </c>
      <c r="B109" s="1">
        <v>75.36</v>
      </c>
      <c r="C109" s="1">
        <v>74.53</v>
      </c>
      <c r="E109" s="2" t="s">
        <v>94</v>
      </c>
      <c r="F109" s="2">
        <v>45335</v>
      </c>
      <c r="G109" s="1" t="s">
        <v>11</v>
      </c>
      <c r="H109" s="1">
        <v>123285</v>
      </c>
      <c r="I109" s="1">
        <v>86.7</v>
      </c>
      <c r="J109" s="1">
        <v>75.75</v>
      </c>
      <c r="K109" s="1">
        <v>-1349970.75</v>
      </c>
    </row>
    <row r="110" spans="1:11" x14ac:dyDescent="0.3">
      <c r="A110" s="2">
        <v>45351</v>
      </c>
      <c r="B110" s="1">
        <v>75.52</v>
      </c>
      <c r="C110" s="1">
        <v>74.66</v>
      </c>
      <c r="E110" s="2" t="s">
        <v>119</v>
      </c>
      <c r="F110" s="2">
        <v>45365</v>
      </c>
      <c r="G110" s="1" t="s">
        <v>11</v>
      </c>
      <c r="H110" s="1">
        <v>128858</v>
      </c>
      <c r="I110" s="1">
        <v>86.38</v>
      </c>
      <c r="J110" s="1">
        <v>75.849999999999994</v>
      </c>
      <c r="K110" s="1">
        <v>-1356874.74</v>
      </c>
    </row>
    <row r="111" spans="1:11" x14ac:dyDescent="0.3">
      <c r="A111" s="2">
        <v>45352</v>
      </c>
      <c r="B111" s="1">
        <v>75.47</v>
      </c>
      <c r="C111" s="1">
        <v>74.8</v>
      </c>
      <c r="E111" s="2" t="s">
        <v>60</v>
      </c>
      <c r="F111" s="2">
        <v>45271</v>
      </c>
      <c r="G111" s="1" t="s">
        <v>11</v>
      </c>
      <c r="H111" s="1">
        <v>143214</v>
      </c>
      <c r="I111" s="1">
        <v>86.7</v>
      </c>
      <c r="J111" s="1">
        <v>75.430000000000007</v>
      </c>
      <c r="K111" s="1">
        <v>-1614021.78</v>
      </c>
    </row>
    <row r="112" spans="1:11" x14ac:dyDescent="0.3">
      <c r="A112" s="2">
        <v>45355</v>
      </c>
      <c r="B112" s="1">
        <v>74.319999999999993</v>
      </c>
      <c r="C112" s="1">
        <v>74.849999999999994</v>
      </c>
      <c r="E112" s="2" t="s">
        <v>54</v>
      </c>
      <c r="F112" s="2">
        <v>45266</v>
      </c>
      <c r="G112" s="1" t="s">
        <v>11</v>
      </c>
      <c r="H112" s="1">
        <v>86732</v>
      </c>
      <c r="I112" s="1">
        <v>94.71</v>
      </c>
      <c r="J112" s="1">
        <v>76.09</v>
      </c>
      <c r="K112" s="1">
        <v>-1614949.84</v>
      </c>
    </row>
    <row r="113" spans="1:11" x14ac:dyDescent="0.3">
      <c r="A113" s="2">
        <v>45356</v>
      </c>
      <c r="B113" s="1">
        <v>74.31</v>
      </c>
      <c r="C113" s="1">
        <v>74.91</v>
      </c>
      <c r="E113" s="2" t="s">
        <v>122</v>
      </c>
      <c r="F113" s="2">
        <v>45373</v>
      </c>
      <c r="G113" s="1" t="s">
        <v>11</v>
      </c>
      <c r="H113" s="1">
        <v>133045</v>
      </c>
      <c r="I113" s="1">
        <v>88.95</v>
      </c>
      <c r="J113" s="1">
        <v>76.58</v>
      </c>
      <c r="K113" s="1">
        <v>-1645766.65</v>
      </c>
    </row>
    <row r="114" spans="1:11" x14ac:dyDescent="0.3">
      <c r="A114" s="2">
        <v>45357</v>
      </c>
      <c r="B114" s="1">
        <v>74.34</v>
      </c>
      <c r="C114" s="1">
        <v>74.94</v>
      </c>
      <c r="E114" s="2" t="s">
        <v>81</v>
      </c>
      <c r="F114" s="2">
        <v>45314</v>
      </c>
      <c r="G114" s="1" t="s">
        <v>11</v>
      </c>
      <c r="H114" s="1">
        <v>129112</v>
      </c>
      <c r="I114" s="1">
        <v>88.94</v>
      </c>
      <c r="J114" s="1">
        <v>76.14</v>
      </c>
      <c r="K114" s="1">
        <v>-1652633.6000000001</v>
      </c>
    </row>
    <row r="115" spans="1:11" x14ac:dyDescent="0.3">
      <c r="A115" s="2">
        <v>45358</v>
      </c>
      <c r="B115" s="1">
        <v>75.819999999999993</v>
      </c>
      <c r="C115" s="1">
        <v>75.02</v>
      </c>
      <c r="E115" s="2" t="s">
        <v>111</v>
      </c>
      <c r="F115" s="2">
        <v>45357</v>
      </c>
      <c r="G115" s="1" t="s">
        <v>11</v>
      </c>
      <c r="H115" s="1">
        <v>124076</v>
      </c>
      <c r="I115" s="1">
        <v>87.94</v>
      </c>
      <c r="J115" s="1">
        <v>74.34</v>
      </c>
      <c r="K115" s="1">
        <v>-1687433.6</v>
      </c>
    </row>
    <row r="116" spans="1:11" x14ac:dyDescent="0.3">
      <c r="A116" s="2">
        <v>45359</v>
      </c>
      <c r="B116" s="1">
        <v>75.7</v>
      </c>
      <c r="C116" s="1">
        <v>75.069999999999993</v>
      </c>
      <c r="E116" s="2" t="s">
        <v>113</v>
      </c>
      <c r="F116" s="2">
        <v>45358</v>
      </c>
      <c r="G116" s="1" t="s">
        <v>11</v>
      </c>
      <c r="H116" s="1">
        <v>97799</v>
      </c>
      <c r="I116" s="1">
        <v>94.61</v>
      </c>
      <c r="J116" s="1">
        <v>75.819999999999993</v>
      </c>
      <c r="K116" s="1">
        <v>-1837643.21</v>
      </c>
    </row>
    <row r="117" spans="1:11" x14ac:dyDescent="0.3">
      <c r="A117" s="2">
        <v>45362</v>
      </c>
      <c r="B117" s="1">
        <v>75.89</v>
      </c>
      <c r="C117" s="1">
        <v>75.12</v>
      </c>
      <c r="E117" s="2" t="s">
        <v>64</v>
      </c>
      <c r="F117" s="2">
        <v>45274</v>
      </c>
      <c r="G117" s="1" t="s">
        <v>11</v>
      </c>
      <c r="H117" s="1">
        <v>126769</v>
      </c>
      <c r="I117" s="1">
        <v>90.69</v>
      </c>
      <c r="J117" s="1">
        <v>75.16</v>
      </c>
      <c r="K117" s="1">
        <v>-1968722.57</v>
      </c>
    </row>
    <row r="118" spans="1:11" x14ac:dyDescent="0.3">
      <c r="A118" s="2">
        <v>45363</v>
      </c>
      <c r="B118" s="1">
        <v>75.86</v>
      </c>
      <c r="C118" s="1">
        <v>75.180000000000007</v>
      </c>
      <c r="E118" s="2" t="s">
        <v>47</v>
      </c>
      <c r="F118" s="2">
        <v>45253</v>
      </c>
      <c r="G118" s="1" t="s">
        <v>11</v>
      </c>
      <c r="H118" s="1">
        <v>120219</v>
      </c>
      <c r="I118" s="1">
        <v>93.21</v>
      </c>
      <c r="J118" s="1">
        <v>76.63</v>
      </c>
      <c r="K118" s="1">
        <v>-1993231.02</v>
      </c>
    </row>
    <row r="119" spans="1:11" x14ac:dyDescent="0.3">
      <c r="A119" s="2">
        <v>45364</v>
      </c>
      <c r="B119" s="1">
        <v>75.16</v>
      </c>
      <c r="C119" s="1">
        <v>75.3</v>
      </c>
      <c r="E119" s="2" t="s">
        <v>108</v>
      </c>
      <c r="F119" s="2">
        <v>45355</v>
      </c>
      <c r="G119" s="1" t="s">
        <v>11</v>
      </c>
      <c r="H119" s="1">
        <v>131792</v>
      </c>
      <c r="I119" s="1">
        <v>90.14</v>
      </c>
      <c r="J119" s="1">
        <v>74.319999999999993</v>
      </c>
      <c r="K119" s="1">
        <v>-2084949.44</v>
      </c>
    </row>
    <row r="120" spans="1:11" x14ac:dyDescent="0.3">
      <c r="A120" s="2">
        <v>45365</v>
      </c>
      <c r="B120" s="1">
        <v>75.849999999999994</v>
      </c>
      <c r="C120" s="1">
        <v>75.52</v>
      </c>
      <c r="E120" s="2" t="s">
        <v>114</v>
      </c>
      <c r="F120" s="2">
        <v>45359</v>
      </c>
      <c r="G120" s="1" t="s">
        <v>11</v>
      </c>
      <c r="H120" s="1">
        <v>133105</v>
      </c>
      <c r="I120" s="1">
        <v>91.58</v>
      </c>
      <c r="J120" s="1">
        <v>75.7</v>
      </c>
      <c r="K120" s="1">
        <v>-2113707.4</v>
      </c>
    </row>
    <row r="121" spans="1:11" x14ac:dyDescent="0.3">
      <c r="A121" s="2">
        <v>45366</v>
      </c>
      <c r="B121" s="1">
        <v>76.3</v>
      </c>
      <c r="C121" s="1">
        <v>75.8</v>
      </c>
      <c r="E121" s="2" t="s">
        <v>100</v>
      </c>
      <c r="F121" s="2">
        <v>45337</v>
      </c>
      <c r="G121" s="1" t="s">
        <v>11</v>
      </c>
      <c r="H121" s="1">
        <v>133714</v>
      </c>
      <c r="I121" s="1">
        <v>94.36</v>
      </c>
      <c r="J121" s="1">
        <v>75.91</v>
      </c>
      <c r="K121" s="1">
        <v>-2467023.2999999998</v>
      </c>
    </row>
    <row r="122" spans="1:11" x14ac:dyDescent="0.3">
      <c r="A122" s="2">
        <v>45369</v>
      </c>
      <c r="B122" s="1">
        <v>76.77</v>
      </c>
      <c r="C122" s="1">
        <v>75.930000000000007</v>
      </c>
      <c r="E122" s="2"/>
    </row>
    <row r="123" spans="1:11" x14ac:dyDescent="0.3">
      <c r="A123" s="2">
        <v>45370</v>
      </c>
      <c r="B123" s="1">
        <v>76.23</v>
      </c>
      <c r="C123" s="1">
        <v>76.010000000000005</v>
      </c>
      <c r="E123" s="2"/>
    </row>
    <row r="124" spans="1:11" x14ac:dyDescent="0.3">
      <c r="A124" s="2">
        <v>45371</v>
      </c>
      <c r="B124" s="1">
        <v>77.069999999999993</v>
      </c>
      <c r="C124" s="1">
        <v>76.180000000000007</v>
      </c>
      <c r="E124" s="2"/>
    </row>
    <row r="125" spans="1:11" x14ac:dyDescent="0.3">
      <c r="A125" s="2">
        <v>45372</v>
      </c>
      <c r="B125" s="1">
        <v>76.23</v>
      </c>
      <c r="C125" s="1">
        <v>76.23</v>
      </c>
      <c r="E125" s="2"/>
    </row>
    <row r="126" spans="1:11" x14ac:dyDescent="0.3">
      <c r="A126" s="2">
        <v>45373</v>
      </c>
      <c r="B126" s="1">
        <v>76.58</v>
      </c>
      <c r="C126" s="1">
        <v>76.430000000000007</v>
      </c>
      <c r="E126" s="2"/>
    </row>
    <row r="127" spans="1:11" x14ac:dyDescent="0.3">
      <c r="A127" s="2">
        <v>45376</v>
      </c>
      <c r="B127" s="1">
        <v>77.900000000000006</v>
      </c>
      <c r="C127" s="1">
        <v>76.73</v>
      </c>
      <c r="E127" s="2"/>
    </row>
    <row r="128" spans="1:11" x14ac:dyDescent="0.3">
      <c r="A128" s="2">
        <v>45377</v>
      </c>
      <c r="B128" s="1">
        <v>77.3</v>
      </c>
      <c r="C128" s="1">
        <v>76.87</v>
      </c>
      <c r="E128" s="2"/>
    </row>
    <row r="129" spans="1:5" x14ac:dyDescent="0.3">
      <c r="A129" s="2">
        <v>45378</v>
      </c>
      <c r="B129" s="1">
        <v>76.959999999999994</v>
      </c>
      <c r="C129" s="1">
        <v>76.900000000000006</v>
      </c>
      <c r="E129" s="2"/>
    </row>
    <row r="130" spans="1:5" x14ac:dyDescent="0.3">
      <c r="A130" s="2">
        <v>45379</v>
      </c>
      <c r="B130" s="1">
        <v>77.02</v>
      </c>
      <c r="C130" s="1">
        <v>77.010000000000005</v>
      </c>
      <c r="E130" s="2"/>
    </row>
    <row r="131" spans="1:5" x14ac:dyDescent="0.3">
      <c r="A131" s="2">
        <v>45380</v>
      </c>
      <c r="B131" s="1">
        <v>76.72</v>
      </c>
      <c r="C131" s="1">
        <v>76.959999999999994</v>
      </c>
      <c r="E131" s="2"/>
    </row>
    <row r="132" spans="1:5" x14ac:dyDescent="0.3">
      <c r="A132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6B12-F821-4970-A9F9-AF89EB9D7233}">
  <dimension ref="A1:B6"/>
  <sheetViews>
    <sheetView workbookViewId="0">
      <selection activeCell="H15" sqref="H15"/>
    </sheetView>
  </sheetViews>
  <sheetFormatPr defaultRowHeight="14.4" x14ac:dyDescent="0.3"/>
  <cols>
    <col min="1" max="1" width="25.21875" customWidth="1"/>
    <col min="2" max="2" width="15" customWidth="1"/>
  </cols>
  <sheetData>
    <row r="1" spans="1:2" x14ac:dyDescent="0.3">
      <c r="A1" t="s">
        <v>132</v>
      </c>
    </row>
    <row r="3" spans="1:2" x14ac:dyDescent="0.3">
      <c r="A3" t="s">
        <v>133</v>
      </c>
      <c r="B3">
        <f>AVERAGE(tbl_prices[market_price_usd])</f>
        <v>77.581769230769197</v>
      </c>
    </row>
    <row r="4" spans="1:2" x14ac:dyDescent="0.3">
      <c r="A4" t="s">
        <v>134</v>
      </c>
      <c r="B4">
        <f>MAX(tbl_prices[market_price_usd])</f>
        <v>84.69</v>
      </c>
    </row>
    <row r="5" spans="1:2" x14ac:dyDescent="0.3">
      <c r="A5" t="s">
        <v>135</v>
      </c>
      <c r="B5">
        <f>MIN(tbl_prices[market_price_usd])</f>
        <v>73.88</v>
      </c>
    </row>
    <row r="6" spans="1:2" x14ac:dyDescent="0.3">
      <c r="A6" t="s">
        <v>136</v>
      </c>
      <c r="B6">
        <f>SUM(tbl_prices[market_price_usd])</f>
        <v>10085.629999999996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9BE3-CF01-4646-9336-0C1BDFFCAB47}">
  <dimension ref="A3:B6"/>
  <sheetViews>
    <sheetView workbookViewId="0">
      <selection activeCell="B18" sqref="B18"/>
    </sheetView>
  </sheetViews>
  <sheetFormatPr defaultRowHeight="14.4" x14ac:dyDescent="0.3"/>
  <cols>
    <col min="1" max="1" width="12.5546875" bestFit="1" customWidth="1"/>
    <col min="2" max="2" width="32.6640625" bestFit="1" customWidth="1"/>
    <col min="3" max="3" width="10.6640625" bestFit="1" customWidth="1"/>
    <col min="4" max="7" width="11.6640625" bestFit="1" customWidth="1"/>
    <col min="8" max="9" width="10.6640625" bestFit="1" customWidth="1"/>
    <col min="10" max="14" width="11.6640625" bestFit="1" customWidth="1"/>
    <col min="15" max="15" width="10.6640625" bestFit="1" customWidth="1"/>
    <col min="16" max="16" width="11.6640625" bestFit="1" customWidth="1"/>
    <col min="17" max="17" width="10.6640625" bestFit="1" customWidth="1"/>
    <col min="18" max="19" width="11.6640625" bestFit="1" customWidth="1"/>
    <col min="20" max="21" width="10.6640625" bestFit="1" customWidth="1"/>
    <col min="22" max="22" width="9.6640625" bestFit="1" customWidth="1"/>
    <col min="23" max="27" width="10.6640625" bestFit="1" customWidth="1"/>
    <col min="28" max="28" width="9.6640625" bestFit="1" customWidth="1"/>
    <col min="29" max="29" width="10.6640625" bestFit="1" customWidth="1"/>
    <col min="30" max="30" width="9.6640625" bestFit="1" customWidth="1"/>
    <col min="31" max="33" width="10.6640625" bestFit="1" customWidth="1"/>
    <col min="34" max="34" width="9.6640625" bestFit="1" customWidth="1"/>
    <col min="35" max="36" width="10.6640625" bestFit="1" customWidth="1"/>
    <col min="37" max="37" width="9.6640625" bestFit="1" customWidth="1"/>
    <col min="38" max="38" width="10.6640625" bestFit="1" customWidth="1"/>
    <col min="39" max="39" width="9.6640625" bestFit="1" customWidth="1"/>
    <col min="40" max="43" width="10.6640625" bestFit="1" customWidth="1"/>
    <col min="44" max="44" width="7.6640625" bestFit="1" customWidth="1"/>
    <col min="45" max="47" width="10.6640625" bestFit="1" customWidth="1"/>
    <col min="48" max="48" width="9.6640625" bestFit="1" customWidth="1"/>
    <col min="49" max="49" width="10.6640625" bestFit="1" customWidth="1"/>
    <col min="50" max="50" width="9.6640625" bestFit="1" customWidth="1"/>
    <col min="51" max="51" width="10.6640625" bestFit="1" customWidth="1"/>
    <col min="52" max="52" width="7.6640625" bestFit="1" customWidth="1"/>
    <col min="53" max="53" width="9.6640625" bestFit="1" customWidth="1"/>
    <col min="54" max="54" width="10.6640625" bestFit="1" customWidth="1"/>
    <col min="55" max="55" width="9.6640625" bestFit="1" customWidth="1"/>
    <col min="56" max="56" width="10.6640625" bestFit="1" customWidth="1"/>
    <col min="57" max="57" width="9.6640625" bestFit="1" customWidth="1"/>
    <col min="58" max="59" width="10.6640625" bestFit="1" customWidth="1"/>
    <col min="60" max="61" width="9.6640625" bestFit="1" customWidth="1"/>
    <col min="62" max="63" width="10.6640625" bestFit="1" customWidth="1"/>
    <col min="64" max="64" width="9.6640625" bestFit="1" customWidth="1"/>
    <col min="65" max="66" width="10.6640625" bestFit="1" customWidth="1"/>
    <col min="67" max="67" width="9.6640625" bestFit="1" customWidth="1"/>
    <col min="68" max="69" width="6.6640625" bestFit="1" customWidth="1"/>
    <col min="70" max="70" width="9.6640625" bestFit="1" customWidth="1"/>
    <col min="71" max="71" width="7" bestFit="1" customWidth="1"/>
    <col min="72" max="76" width="9" bestFit="1" customWidth="1"/>
    <col min="77" max="81" width="10" bestFit="1" customWidth="1"/>
    <col min="82" max="82" width="9" bestFit="1" customWidth="1"/>
    <col min="83" max="84" width="10" bestFit="1" customWidth="1"/>
    <col min="85" max="85" width="9" bestFit="1" customWidth="1"/>
    <col min="86" max="86" width="10" bestFit="1" customWidth="1"/>
    <col min="87" max="87" width="7" bestFit="1" customWidth="1"/>
    <col min="88" max="89" width="10" bestFit="1" customWidth="1"/>
    <col min="90" max="90" width="9" bestFit="1" customWidth="1"/>
    <col min="91" max="93" width="10" bestFit="1" customWidth="1"/>
    <col min="94" max="95" width="9" bestFit="1" customWidth="1"/>
    <col min="96" max="96" width="10" bestFit="1" customWidth="1"/>
    <col min="97" max="97" width="7" bestFit="1" customWidth="1"/>
    <col min="98" max="99" width="9" bestFit="1" customWidth="1"/>
    <col min="100" max="100" width="10" bestFit="1" customWidth="1"/>
    <col min="101" max="101" width="9" bestFit="1" customWidth="1"/>
    <col min="102" max="104" width="10" bestFit="1" customWidth="1"/>
    <col min="105" max="106" width="11" bestFit="1" customWidth="1"/>
    <col min="107" max="108" width="10" bestFit="1" customWidth="1"/>
    <col min="109" max="109" width="11" bestFit="1" customWidth="1"/>
    <col min="110" max="111" width="10" bestFit="1" customWidth="1"/>
    <col min="112" max="116" width="11" bestFit="1" customWidth="1"/>
    <col min="117" max="117" width="10" bestFit="1" customWidth="1"/>
    <col min="118" max="118" width="11" bestFit="1" customWidth="1"/>
    <col min="119" max="119" width="8" bestFit="1" customWidth="1"/>
    <col min="120" max="121" width="11" bestFit="1" customWidth="1"/>
    <col min="122" max="122" width="12.6640625" bestFit="1" customWidth="1"/>
  </cols>
  <sheetData>
    <row r="3" spans="1:2" x14ac:dyDescent="0.3">
      <c r="A3" s="3" t="s">
        <v>137</v>
      </c>
      <c r="B3" t="s">
        <v>139</v>
      </c>
    </row>
    <row r="4" spans="1:2" x14ac:dyDescent="0.3">
      <c r="A4" s="7" t="s">
        <v>11</v>
      </c>
      <c r="B4" s="8">
        <v>-50599901.820000008</v>
      </c>
    </row>
    <row r="5" spans="1:2" x14ac:dyDescent="0.3">
      <c r="A5" s="9" t="s">
        <v>13</v>
      </c>
      <c r="B5" s="10">
        <v>39400214.089999996</v>
      </c>
    </row>
    <row r="6" spans="1:2" x14ac:dyDescent="0.3">
      <c r="A6" s="4" t="s">
        <v>138</v>
      </c>
      <c r="B6" s="6">
        <v>-11199687.730000012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F7E9-80ED-4156-A78D-D77B12FB40DC}">
  <dimension ref="A3:B12"/>
  <sheetViews>
    <sheetView workbookViewId="0">
      <selection activeCell="N22" sqref="N22"/>
    </sheetView>
  </sheetViews>
  <sheetFormatPr defaultRowHeight="14.4" x14ac:dyDescent="0.3"/>
  <cols>
    <col min="1" max="1" width="12.5546875" bestFit="1" customWidth="1"/>
    <col min="2" max="2" width="32.6640625" bestFit="1" customWidth="1"/>
  </cols>
  <sheetData>
    <row r="3" spans="1:2" x14ac:dyDescent="0.3">
      <c r="A3" s="3" t="s">
        <v>137</v>
      </c>
      <c r="B3" t="s">
        <v>139</v>
      </c>
    </row>
    <row r="4" spans="1:2" x14ac:dyDescent="0.3">
      <c r="A4" s="4" t="s">
        <v>140</v>
      </c>
      <c r="B4" s="5">
        <v>-291473.84000000032</v>
      </c>
    </row>
    <row r="5" spans="1:2" x14ac:dyDescent="0.3">
      <c r="A5" s="11" t="s">
        <v>145</v>
      </c>
      <c r="B5" s="5">
        <v>-2113584.9299999992</v>
      </c>
    </row>
    <row r="6" spans="1:2" x14ac:dyDescent="0.3">
      <c r="A6" s="11" t="s">
        <v>146</v>
      </c>
      <c r="B6" s="5">
        <v>4466144.6499999994</v>
      </c>
    </row>
    <row r="7" spans="1:2" x14ac:dyDescent="0.3">
      <c r="A7" s="11" t="s">
        <v>147</v>
      </c>
      <c r="B7" s="5">
        <v>-2644033.5600000005</v>
      </c>
    </row>
    <row r="8" spans="1:2" x14ac:dyDescent="0.3">
      <c r="A8" s="4" t="s">
        <v>141</v>
      </c>
      <c r="B8" s="5">
        <v>-10908213.889999999</v>
      </c>
    </row>
    <row r="9" spans="1:2" x14ac:dyDescent="0.3">
      <c r="A9" s="11" t="s">
        <v>142</v>
      </c>
      <c r="B9" s="5">
        <v>-1595250.28</v>
      </c>
    </row>
    <row r="10" spans="1:2" x14ac:dyDescent="0.3">
      <c r="A10" s="11" t="s">
        <v>143</v>
      </c>
      <c r="B10" s="5">
        <v>875333.14999999967</v>
      </c>
    </row>
    <row r="11" spans="1:2" x14ac:dyDescent="0.3">
      <c r="A11" s="11" t="s">
        <v>144</v>
      </c>
      <c r="B11" s="5">
        <v>-10188296.759999998</v>
      </c>
    </row>
    <row r="12" spans="1:2" x14ac:dyDescent="0.3">
      <c r="A12" s="4" t="s">
        <v>138</v>
      </c>
      <c r="B12" s="5">
        <v>-11199687.729999999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Daily_Summary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Dhamankar</dc:creator>
  <cp:lastModifiedBy>Mohit Dhamankar</cp:lastModifiedBy>
  <dcterms:created xsi:type="dcterms:W3CDTF">2025-12-29T08:54:53Z</dcterms:created>
  <dcterms:modified xsi:type="dcterms:W3CDTF">2025-12-29T14:02:16Z</dcterms:modified>
</cp:coreProperties>
</file>